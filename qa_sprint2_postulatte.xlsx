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58630130f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4ee5cbbb17e4f1e"/>
    <x:sheet xmlns:r="http://schemas.openxmlformats.org/officeDocument/2006/relationships" name="Historias" sheetId="2" r:id="R5f36bbcee82d4b44"/>
    <x:sheet xmlns:r="http://schemas.openxmlformats.org/officeDocument/2006/relationships" name="Criterios" sheetId="3" r:id="R419ad0dff8ec4610"/>
    <x:sheet xmlns:r="http://schemas.openxmlformats.org/officeDocument/2006/relationships" name="Casos_Prueba" sheetId="4" r:id="Rf2f67eda9d9d4c5a"/>
    <x:sheet xmlns:r="http://schemas.openxmlformats.org/officeDocument/2006/relationships" name="Bugs" sheetId="5" r:id="Rd7c2f0a883784886"/>
    <x:sheet xmlns:r="http://schemas.openxmlformats.org/officeDocument/2006/relationships" name="Guia" sheetId="6" r:id="R6bf25089b156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115E59"/>
      <x:name val="Carlito"/>
    </x:font>
    <x:font>
      <x:b/>
      <x:sz val="16"/>
      <x:color rgb="FFFFFFFF"/>
      <x:name val="Calibri"/>
    </x:font>
    <x:font>
      <x:sz val="11"/>
      <x:name val="Calibri"/>
    </x:font>
    <x:font>
      <x:i/>
      <x:sz val="11"/>
      <x:color rgb="FF1F2937"/>
      <x:name val="Calibri"/>
    </x:font>
    <x:font>
      <x:b/>
      <x:sz val="11"/>
      <x:color rgb="FFFFFFFF"/>
      <x:name val="Calibri"/>
    </x:font>
    <x:font>
      <x:sz val="10"/>
      <x:color rgb="FF1F2937"/>
      <x:name val="Calibri"/>
    </x:font>
    <x:font>
      <x:b/>
      <x:sz val="10"/>
      <x:color rgb="FF1F2937"/>
      <x:name val="Calibri"/>
    </x:font>
    <x:font>
      <x:b/>
      <x:sz val="10"/>
      <x:color rgb="FF115E59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  <x:fill>
      <x:patternFill patternType="solid">
        <x:fgColor rgb="FFEFF6FF"/>
      </x:patternFill>
    </x:fill>
  </x:fills>
  <x:borders count="1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15E59"/>
      </x:left>
      <x:top style="thin">
        <x:color rgb="FF115E59"/>
      </x:top>
      <x:bottom style="thin">
        <x:color rgb="FF115E59"/>
      </x:bottom>
    </x:border>
    <x:border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115E59"/>
      </x:top>
      <x:bottom style="thin">
        <x:color rgb="FF115E59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3" fillId="4" borderId="10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horizontal="center" vertical="top" wrapText="1"/>
    </x:xf>
    <x:xf numFmtId="0" fontId="6" fillId="3" borderId="6" xfId="0" applyNumberFormat="1" applyFont="1" applyFill="1" applyBorder="1" applyAlignment="1">
      <x:alignment horizontal="center" vertical="top" wrapText="1"/>
    </x:xf>
    <x:xf numFmtId="0" fontId="6" fillId="3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5" borderId="12" xfId="0" applyNumberFormat="1" applyFont="1" applyFill="1" applyBorder="1" applyAlignment="1">
      <x:alignment horizontal="center" vertical="top" wrapText="1"/>
    </x:xf>
    <x:xf numFmtId="0" fontId="4" fillId="5" borderId="13" xfId="0" applyNumberFormat="1" applyFont="1" applyFill="1" applyBorder="1" applyAlignment="1">
      <x:alignment horizontal="center"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0" fontId="4" fillId="0" borderId="13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7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10" fillId="4" borderId="10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vertical="top" wrapText="1"/>
    </x:xf>
    <x:xf numFmtId="0" fontId="12" fillId="5" borderId="5" xfId="0" applyNumberFormat="1" applyFont="1" applyFill="1" applyBorder="1" applyAlignment="1">
      <x:alignment horizontal="center" vertical="top" wrapText="1"/>
    </x:xf>
    <x:xf numFmtId="0" fontId="13" fillId="3" borderId="4" xfId="0" applyNumberFormat="1" applyFont="1" applyFill="1" applyBorder="1" applyAlignment="1">
      <x:alignment horizontal="center"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2" fillId="5" borderId="7" xfId="0" applyNumberFormat="1" applyFont="1" applyFill="1" applyBorder="1" applyAlignment="1">
      <x:alignment horizontal="center" vertical="top" wrapText="1"/>
    </x:xf>
    <x:xf numFmtId="0" fontId="13" fillId="3" borderId="6" xfId="0" applyNumberFormat="1" applyFont="1" applyFill="1" applyBorder="1" applyAlignment="1">
      <x:alignment horizontal="center" vertical="top" wrapText="1"/>
    </x:xf>
    <x:xf numFmtId="0" fontId="11" fillId="0" borderId="12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2" fillId="5" borderId="9" xfId="0" applyNumberFormat="1" applyFont="1" applyFill="1" applyBorder="1" applyAlignment="1">
      <x:alignment horizontal="center" vertical="top" wrapText="1"/>
    </x:xf>
    <x:xf numFmtId="0" fontId="13" fillId="3" borderId="8" xfId="0" applyNumberFormat="1" applyFont="1" applyFill="1" applyBorder="1" applyAlignment="1">
      <x:alignment horizontal="center" vertical="top" wrapText="1"/>
    </x:xf>
    <x:xf numFmtId="0" fontId="11" fillId="0" borderId="13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horizontal="center" vertical="top" wrapText="1"/>
    </x:xf>
    <x:xf numFmtId="0" fontId="11" fillId="5" borderId="12" xfId="0" applyNumberFormat="1" applyFont="1" applyFill="1" applyBorder="1" applyAlignment="1">
      <x:alignment horizontal="center" vertical="top" wrapText="1"/>
    </x:xf>
    <x:xf numFmtId="0" fontId="11" fillId="5" borderId="13" xfId="0" applyNumberFormat="1" applyFont="1" applyFill="1" applyBorder="1" applyAlignment="1">
      <x:alignment horizontal="center" vertical="top" wrapText="1"/>
    </x:xf>
    <x:xf numFmtId="200" fontId="11" fillId="0" borderId="11" xfId="0" applyNumberFormat="1" applyFont="1" applyFill="1" applyBorder="1" applyAlignment="1">
      <x:alignment vertical="top" wrapText="1"/>
    </x:xf>
    <x:xf numFmtId="200" fontId="11" fillId="0" borderId="12" xfId="0" applyNumberFormat="1" applyFont="1" applyFill="1" applyBorder="1" applyAlignment="1">
      <x:alignment vertical="top" wrapText="1"/>
    </x:xf>
    <x:xf numFmtId="200" fontId="11" fillId="0" borderId="13" xfId="0" applyNumberFormat="1" applyFont="1" applyFill="1" applyBorder="1" applyAlignment="1">
      <x:alignment vertical="top" wrapText="1"/>
    </x:xf>
    <x:xf numFmtId="200" fontId="11" fillId="0" borderId="5" xfId="0" applyNumberFormat="1" applyFont="1" applyFill="1" applyBorder="1" applyAlignment="1">
      <x:alignment vertical="top" wrapText="1"/>
    </x:xf>
    <x:xf numFmtId="200" fontId="11" fillId="0" borderId="7" xfId="0" applyNumberFormat="1" applyFont="1" applyFill="1" applyBorder="1" applyAlignment="1">
      <x:alignment vertical="top" wrapText="1"/>
    </x:xf>
    <x:xf numFmtId="200" fontId="1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b41a446f14757" /><Relationship Type="http://schemas.openxmlformats.org/officeDocument/2006/relationships/theme" Target="/xl/theme/theme1.xml" Id="Rfea3390fb52a4289" /><Relationship Type="http://schemas.openxmlformats.org/officeDocument/2006/relationships/sharedStrings" Target="/xl/sharedStrings.xml" Id="R309492b952204caf" /><Relationship Type="http://schemas.openxmlformats.org/officeDocument/2006/relationships/worksheet" Target="/xl/worksheets/sheet1.xml" Id="R84ee5cbbb17e4f1e" /><Relationship Type="http://schemas.openxmlformats.org/officeDocument/2006/relationships/worksheet" Target="/xl/worksheets/sheet2.xml" Id="R5f36bbcee82d4b44" /><Relationship Type="http://schemas.openxmlformats.org/officeDocument/2006/relationships/worksheet" Target="/xl/worksheets/sheet3.xml" Id="R419ad0dff8ec4610" /><Relationship Type="http://schemas.openxmlformats.org/officeDocument/2006/relationships/worksheet" Target="/xl/worksheets/sheet4.xml" Id="Rf2f67eda9d9d4c5a" /><Relationship Type="http://schemas.openxmlformats.org/officeDocument/2006/relationships/worksheet" Target="/xl/worksheets/sheet5.xml" Id="Rd7c2f0a883784886" /><Relationship Type="http://schemas.openxmlformats.org/officeDocument/2006/relationships/worksheet" Target="/xl/worksheets/sheet6.xml" Id="R6bf25089b1564e43" /><Relationship Type="http://schemas.microsoft.com/office/2017/10/relationships/person" Target="/xl/persons/person.xml" Id="R5e8986aea1644046" /></Relationships>
</file>

<file path=xl/persons/person.xml><?xml version="1.0" encoding="utf-8"?>
<xltc:personList xmlns:xltc="http://schemas.microsoft.com/office/spreadsheetml/2018/threadedcomments">
  <xltc:person displayName="User" id="{11DBF56E-9A30-43E9-B7EF-22D0A23397DC}"/>
</xltc:personList>
</file>

<file path=xl/tables/table1.xml><?xml version="1.0" encoding="utf-8"?>
<x:table xmlns:x="http://schemas.openxmlformats.org/spreadsheetml/2006/main" id="1" name="HistoriasSprint2Table" displayName="HistoriasSprint2Table" ref="A5:N105" headerRowCount="1" totalsRowCount="0" totalsRowShown="0">
  <x:tableColumns count="14">
    <x:tableColumn id="1" name="ID Historia"/>
    <x:tableColumn id="2" name="Épica / Módulo"/>
    <x:tableColumn id="3" name="Historia de usuario"/>
    <x:tableColumn id="4" name="Rol"/>
    <x:tableColumn id="5" name="Necesidad"/>
    <x:tableColumn id="6" name="Valor esperado"/>
    <x:tableColumn id="7" name="Criterios de aceptación"/>
    <x:tableColumn id="8" name="Prioridad"/>
    <x:tableColumn id="9" name="Riesgo QA"/>
    <x:tableColumn id="10" name="Estado Dev"/>
    <x:tableColumn id="11" name="Estado QA"/>
    <x:tableColumn id="12" name="Casos planeados"/>
    <x:tableColumn id="13" name="Casos ejecutados"/>
    <x:tableColumn id="14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Sprint2Table" displayName="CriteriosSprint2Table" ref="A5:G105" headerRowCount="1" totalsRowCount="0" totalsRowShown="0">
  <x:tableColumns count="7">
    <x:tableColumn id="1" name="ID Criterio"/>
    <x:tableColumn id="2" name="ID Historia"/>
    <x:tableColumn id="3" name="Criterio de aceptación"/>
    <x:tableColumn id="4" name="Tipo"/>
    <x:tableColumn id="5" name="Estado"/>
    <x:tableColumn id="6" name="Notas / Dudas"/>
    <x:tableColumn id="7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osSprint2Table" displayName="CasosSprint2Table" ref="A5:N205" headerRowCount="1" totalsRowCount="0" totalsRowShown="0">
  <x:tableColumns count="14">
    <x:tableColumn id="1" name="ID Caso"/>
    <x:tableColumn id="2" name="ID Historia"/>
    <x:tableColumn id="3" name="Módulo"/>
    <x:tableColumn id="4" name="Escenario"/>
    <x:tableColumn id="5" name="Tipo"/>
    <x:tableColumn id="6" name="Precondiciones"/>
    <x:tableColumn id="7" name="Pasos"/>
    <x:tableColumn id="8" name="Datos de prueba"/>
    <x:tableColumn id="9" name="Resultado esperado"/>
    <x:tableColumn id="10" name="Estado"/>
    <x:tableColumn id="11" name="Resultado obtenido"/>
    <x:tableColumn id="12" name="Severidad si falla"/>
    <x:tableColumn id="13" name="Fecha ejecución"/>
    <x:tableColumn id="14" name="Bug relacion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gsSprint2Table" displayName="BugsSprint2Table" ref="A5:O205" headerRowCount="1" totalsRowCount="0" totalsRowShown="0">
  <x:tableColumns count="15">
    <x:tableColumn id="1" name="ID Bug"/>
    <x:tableColumn id="2" name="ID Historia"/>
    <x:tableColumn id="3" name="ID Caso"/>
    <x:tableColumn id="4" name="Módulo"/>
    <x:tableColumn id="5" name="Título"/>
    <x:tableColumn id="6" name="Descripción"/>
    <x:tableColumn id="7" name="Pasos para reproducir"/>
    <x:tableColumn id="8" name="Resultado esperado"/>
    <x:tableColumn id="9" name="Resultado actual"/>
    <x:tableColumn id="10" name="Severidad"/>
    <x:tableColumn id="11" name="Estado"/>
    <x:tableColumn id="12" name="Prioridad"/>
    <x:tableColumn id="13" name="Evidencia"/>
    <x:tableColumn id="14" name="Fecha reporte"/>
    <x:tableColumn id="15" name="Fecha cier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uiaSprint2Table" displayName="GuiaSprint2Table" ref="A5:F13" headerRowCount="1" totalsRowCount="0" totalsRowShown="0">
  <x:tableColumns count="6">
    <x:tableColumn id="1" name="Paso"/>
    <x:tableColumn id="2" name="Qué revisar"/>
    <x:tableColumn id="3" name="Dónde llenarlo"/>
    <x:tableColumn id="4" name="Tip QA junior"/>
    <x:tableColumn id="5" name="Ejemplo"/>
    <x:tableColumn id="6" name="Estad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dd15000f1b41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692514ae2340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114f43f97f48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cd32774f884c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3460beef3849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2.5" hidden="0" customWidth="1"/>
    <x:col min="3" max="3" width="3.75" hidden="0" customWidth="1"/>
    <x:col min="4" max="4" width="6" hidden="0" customWidth="1"/>
    <x:col min="5" max="5" width="58.75" hidden="0" customWidth="1"/>
    <x:col min="6" max="6" width="3.75" hidden="0" customWidth="1"/>
    <x:col min="7" max="7" width="3.75" hidden="0" customWidth="1"/>
    <x:col min="8" max="8" width="3.75" hidden="0" customWidth="1"/>
  </x:cols>
  <x:sheetData>
    <x:row r="1" ht="19.200000762939453" hidden="0" customHeight="1">
      <x:c r="A1" s="81" t="str">
        <x:v>Resumen QA - Sprint 2 PostuLatte</x:v>
      </x:c>
      <x:c r="B1" s="81"/>
      <x:c r="C1" s="81"/>
      <x:c r="D1" s="81"/>
      <x:c r="E1" s="81"/>
      <x:c r="F1" s="81"/>
      <x:c r="G1" s="81"/>
      <x:c r="H1" s="81"/>
    </x:row>
    <x:row r="2" ht="15" hidden="0" customHeight="1">
      <x:c r="A2" s="82"/>
      <x:c r="B2" s="82"/>
      <x:c r="C2" s="82"/>
      <x:c r="D2" s="82"/>
      <x:c r="E2" s="82"/>
      <x:c r="F2" s="82"/>
      <x:c r="G2" s="82"/>
      <x:c r="H2" s="82"/>
    </x:row>
    <x:row r="3" ht="15" hidden="0" customHeight="1">
      <x:c r="A3" s="83" t="str">
        <x:v>Sprint 2 enfocado en convocatorias: listado con datos reales, búsqueda/filtros, edición y cierre conectado al backend.</x:v>
      </x:c>
      <x:c r="B3" s="82"/>
      <x:c r="C3" s="82"/>
      <x:c r="D3" s="82"/>
      <x:c r="E3" s="82"/>
      <x:c r="F3" s="82"/>
      <x:c r="G3" s="82"/>
      <x:c r="H3" s="82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</x:row>
    <x:row r="5" ht="15" hidden="0" customHeight="1">
      <x:c r="A5" s="84" t="str">
        <x:v>Métrica</x:v>
      </x:c>
      <x:c r="B5" s="85" t="str">
        <x:v>Cantidad</x:v>
      </x:c>
      <x:c r="C5" s="82"/>
      <x:c r="D5" s="84" t="str">
        <x:v>Orden recomendado para probar Sprint 2</x:v>
      </x:c>
      <x:c r="E5" s="86" t="str"/>
      <x:c r="F5" s="86" t="str"/>
      <x:c r="G5" s="86" t="str"/>
      <x:c r="H5" s="85" t="str"/>
    </x:row>
    <x:row r="6" ht="15" hidden="0" customHeight="1">
      <x:c r="A6" s="87" t="str">
        <x:v>Historias registradas</x:v>
      </x:c>
      <x:c r="B6" s="88" t="n">
        <x:f>COUNTA('Historias'!A6:A105)</x:f>
        <x:v>6</x:v>
      </x:c>
      <x:c r="C6" s="82"/>
      <x:c r="D6" s="89" t="str">
        <x:v>1</x:v>
      </x:c>
      <x:c r="E6" s="90" t="str">
        <x:v>Listado: datos reales desde GET /v1/convocatorias.</x:v>
      </x:c>
      <x:c r="F6" s="90" t="str"/>
      <x:c r="G6" s="90" t="str"/>
      <x:c r="H6" s="91" t="str"/>
    </x:row>
    <x:row r="7" ht="15" hidden="0" customHeight="1">
      <x:c r="A7" s="92" t="str">
        <x:v>Historias aprobadas por QA</x:v>
      </x:c>
      <x:c r="B7" s="93" t="n">
        <x:f>COUNTIF('Historias'!K6:K105,"Aprobada")</x:f>
        <x:v>0</x:v>
      </x:c>
      <x:c r="C7" s="82"/>
      <x:c r="D7" s="94" t="str">
        <x:v>2</x:v>
      </x:c>
      <x:c r="E7" s="95" t="str">
        <x:v>Estados de carga, error y lista vacía.</x:v>
      </x:c>
      <x:c r="F7" s="95" t="str"/>
      <x:c r="G7" s="95" t="str"/>
      <x:c r="H7" s="96" t="str"/>
    </x:row>
    <x:row r="8" ht="15" hidden="0" customHeight="1">
      <x:c r="A8" s="92" t="str">
        <x:v>Casos de prueba planeados</x:v>
      </x:c>
      <x:c r="B8" s="93" t="n">
        <x:f>COUNTA('Casos_Prueba'!A6:A205)</x:f>
        <x:v>26</x:v>
      </x:c>
      <x:c r="C8" s="82"/>
      <x:c r="D8" s="94" t="str">
        <x:v>3</x:v>
      </x:c>
      <x:c r="E8" s="95" t="str">
        <x:v>Cerrar convocatoria con confirmación y backend real.</x:v>
      </x:c>
      <x:c r="F8" s="95" t="str"/>
      <x:c r="G8" s="95" t="str"/>
      <x:c r="H8" s="96" t="str"/>
    </x:row>
    <x:row r="9" ht="15" hidden="0" customHeight="1">
      <x:c r="A9" s="92" t="str">
        <x:v>Casos ejecutados</x:v>
      </x:c>
      <x:c r="B9" s="93" t="n">
        <x:f>COUNTIF('Casos_Prueba'!J6:J205,"Pasó")+COUNTIF('Casos_Prueba'!J6:J205,"Falló")+COUNTIF('Casos_Prueba'!J6:J205,"Bloqueado")+COUNTIF('Casos_Prueba'!J6:J205,"No aplica")</x:f>
        <x:v>0</x:v>
      </x:c>
      <x:c r="C9" s="82"/>
      <x:c r="D9" s="94" t="str">
        <x:v>4</x:v>
      </x:c>
      <x:c r="E9" s="95" t="str">
        <x:v>Editar convocatoria y verificar reflejo inmediato.</x:v>
      </x:c>
      <x:c r="F9" s="95" t="str"/>
      <x:c r="G9" s="95" t="str"/>
      <x:c r="H9" s="96" t="str"/>
    </x:row>
    <x:row r="10" ht="15" hidden="0" customHeight="1">
      <x:c r="A10" s="92" t="str">
        <x:v>Casos fallidos</x:v>
      </x:c>
      <x:c r="B10" s="93" t="n">
        <x:f>COUNTIF('Casos_Prueba'!J6:J205,"Falló")</x:f>
        <x:v>0</x:v>
      </x:c>
      <x:c r="C10" s="82"/>
      <x:c r="D10" s="94" t="str">
        <x:v>5</x:v>
      </x:c>
      <x:c r="E10" s="95" t="str">
        <x:v>Buscar y filtrar por nombre, gestión y estado.</x:v>
      </x:c>
      <x:c r="F10" s="95" t="str"/>
      <x:c r="G10" s="95" t="str"/>
      <x:c r="H10" s="96" t="str"/>
    </x:row>
    <x:row r="11" ht="15" hidden="0" customHeight="1">
      <x:c r="A11" s="97" t="str">
        <x:v>Bugs abiertos</x:v>
      </x:c>
      <x:c r="B11" s="98" t="n">
        <x:f>COUNTIF('Bugs'!K6:K205,"Nuevo")+COUNTIF('Bugs'!K6:K205,"Abierto")+COUNTIF('Bugs'!K6:K205,"En análisis")+COUNTIF('Bugs'!K6:K205,"Corregido")+COUNTIF('Bugs'!K6:K205,"Reabierto")</x:f>
        <x:v>0</x:v>
      </x:c>
      <x:c r="C11" s="82"/>
      <x:c r="D11" s="99" t="str">
        <x:v>6</x:v>
      </x:c>
      <x:c r="E11" s="100" t="str">
        <x:v>Registrar bug si hay datos hardcodeados o la UI no actualiza.</x:v>
      </x:c>
      <x:c r="F11" s="100" t="str"/>
      <x:c r="G11" s="100" t="str"/>
      <x:c r="H11" s="101" t="str"/>
    </x:row>
  </x:sheetData>
  <x:mergeCells>
    <x:mergeCell ref="A1:H1"/>
    <x:mergeCell ref="A3:H3"/>
    <x:mergeCell ref="D5:H5"/>
    <x:mergeCell ref="E6:H6"/>
    <x:mergeCell ref="E7:H7"/>
    <x:mergeCell ref="E8:H8"/>
    <x:mergeCell ref="E9:H9"/>
    <x:mergeCell ref="E10:H10"/>
    <x:mergeCell ref="E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1299991607666" hidden="0" customWidth="1"/>
    <x:col min="3" max="3" width="33.75" hidden="0" customWidth="1"/>
    <x:col min="4" max="4" width="15" hidden="0" customWidth="1"/>
    <x:col min="5" max="5" width="32.5" hidden="0" customWidth="1"/>
    <x:col min="6" max="6" width="30" hidden="0" customWidth="1"/>
    <x:col min="7" max="7" width="45" hidden="0" customWidth="1"/>
    <x:col min="8" max="8" width="11.25" hidden="0" customWidth="1"/>
    <x:col min="9" max="9" width="11.25" hidden="0" customWidth="1"/>
    <x:col min="10" max="10" width="13.130000114440918" hidden="0" customWidth="1"/>
    <x:col min="11" max="11" width="15" hidden="0" customWidth="1"/>
    <x:col min="12" max="12" width="11.880000114440918" hidden="0" customWidth="1"/>
    <x:col min="13" max="13" width="11.880000114440918" hidden="0" customWidth="1"/>
    <x:col min="14" max="14" width="30" hidden="0" customWidth="1"/>
  </x:cols>
  <x:sheetData>
    <x:row r="1" ht="19.200000762939453" hidden="0" customHeight="1">
      <x:c r="A1" s="81" t="str">
        <x:v>Historias de Usuario - Sprint 2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 ht="15" hidden="0" customHeight="1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15" hidden="0" customHeight="1">
      <x:c r="A3" s="83" t="str">
        <x:v>Historias tomadas de las capturas del Sprint 2. Valida especialmente que la UI use backend real y no datos hardcodeados.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 ht="26.399999618530273" hidden="0" customHeight="1">
      <x:c r="A5" s="84" t="str">
        <x:v>ID Historia</x:v>
      </x:c>
      <x:c r="B5" s="86" t="str">
        <x:v>Épica / Módulo</x:v>
      </x:c>
      <x:c r="C5" s="86" t="str">
        <x:v>Historia de usuario</x:v>
      </x:c>
      <x:c r="D5" s="86" t="str">
        <x:v>Rol</x:v>
      </x:c>
      <x:c r="E5" s="86" t="str">
        <x:v>Necesidad</x:v>
      </x:c>
      <x:c r="F5" s="86" t="str">
        <x:v>Valor esperado</x:v>
      </x:c>
      <x:c r="G5" s="86" t="str">
        <x:v>Criterios de aceptación</x:v>
      </x:c>
      <x:c r="H5" s="86" t="str">
        <x:v>Prioridad</x:v>
      </x:c>
      <x:c r="I5" s="86" t="str">
        <x:v>Riesgo QA</x:v>
      </x:c>
      <x:c r="J5" s="86" t="str">
        <x:v>Estado Dev</x:v>
      </x:c>
      <x:c r="K5" s="86" t="str">
        <x:v>Estado QA</x:v>
      </x:c>
      <x:c r="L5" s="86" t="str">
        <x:v>Casos planeados</x:v>
      </x:c>
      <x:c r="M5" s="86" t="str">
        <x:v>Casos ejecutados</x:v>
      </x:c>
      <x:c r="N5" s="85" t="str">
        <x:v>Observaciones</x:v>
      </x:c>
    </x:row>
    <x:row r="6" ht="36" hidden="0" customHeight="1">
      <x:c r="A6" s="87" t="str">
        <x:v>GH-034</x:v>
      </x:c>
      <x:c r="B6" s="90" t="str">
        <x:v>Convocatorias / Backend</x:v>
      </x:c>
      <x:c r="C6" s="90" t="str">
        <x:v>Conectar listado de convocatorias con GET /v1/convocatorias</x:v>
      </x:c>
      <x:c r="D6" s="90" t="str">
        <x:v>Administrador</x:v>
      </x:c>
      <x:c r="E6" s="90" t="str">
        <x:v>Ver convocatorias reales del backend en lugar de datos hardcodeados.</x:v>
      </x:c>
      <x:c r="F6" s="90" t="str">
        <x:v>Confiar en datos reales para gestión de convocatorias.</x:v>
      </x:c>
      <x:c r="G6" s="90" t="str">
        <x:v>No depende de datos hardcodeados. Carga convocatoria activa e historial real. Muestra loading, error y estado vacío. ActiveCallCard y Table funcionan con datos reales.</x:v>
      </x:c>
      <x:c r="H6" s="90" t="str">
        <x:v>Alta</x:v>
      </x:c>
      <x:c r="I6" s="90" t="str">
        <x:v>Alto</x:v>
      </x:c>
      <x:c r="J6" s="90" t="str">
        <x:v>Cerrado</x:v>
      </x:c>
      <x:c r="K6" s="90" t="str">
        <x:v>Pendiente</x:v>
      </x:c>
      <x:c r="L6" s="102" t="n">
        <x:f>COUNTIF('Casos_Prueba'!B$6:B$205,A6)</x:f>
        <x:v>6</x:v>
      </x:c>
      <x:c r="M6" s="102" t="n">
        <x:f>COUNTIFS('Casos_Prueba'!B$6:B$205,A6,'Casos_Prueba'!J$6:J$205,"&lt;&gt;Pendiente",'Casos_Prueba'!J$6:J$205,"&lt;&gt;")</x:f>
        <x:v>0</x:v>
      </x:c>
      <x:c r="N6" s="91"/>
    </x:row>
    <x:row r="7" ht="36" hidden="0" customHeight="1">
      <x:c r="A7" s="92" t="str">
        <x:v>GH-006</x:v>
      </x:c>
      <x:c r="B7" s="95" t="str">
        <x:v>Convocatorias</x:v>
      </x:c>
      <x:c r="C7" s="95" t="str">
        <x:v>Visualizar listado de convocatorias</x:v>
      </x:c>
      <x:c r="D7" s="95" t="str">
        <x:v>Administrador</x:v>
      </x:c>
      <x:c r="E7" s="95" t="str">
        <x:v>Visualizar todas las convocatorias registradas para consultar su información y estado.</x:v>
      </x:c>
      <x:c r="F7" s="95" t="str">
        <x:v>Consultar rápidamente estado y datos principales.</x:v>
      </x:c>
      <x:c r="G7" s="95" t="str">
        <x:v>Listado muestra nombre, gestión, fecha inicio, fecha finalización, estado y acciones disponibles. La convocatoria activa se identifica fácilmente.</x:v>
      </x:c>
      <x:c r="H7" s="95" t="str">
        <x:v>Alta</x:v>
      </x:c>
      <x:c r="I7" s="95" t="str">
        <x:v>Medio</x:v>
      </x:c>
      <x:c r="J7" s="95" t="str">
        <x:v>Cerrado</x:v>
      </x:c>
      <x:c r="K7" s="95" t="str">
        <x:v>Pendiente</x:v>
      </x:c>
      <x:c r="L7" s="103" t="n">
        <x:f>COUNTIF('Casos_Prueba'!B$6:B$205,A7)</x:f>
        <x:v>3</x:v>
      </x:c>
      <x:c r="M7" s="103" t="n">
        <x:f>COUNTIFS('Casos_Prueba'!B$6:B$205,A7,'Casos_Prueba'!J$6:J$205,"&lt;&gt;Pendiente",'Casos_Prueba'!J$6:J$205,"&lt;&gt;")</x:f>
        <x:v>0</x:v>
      </x:c>
      <x:c r="N7" s="96"/>
    </x:row>
    <x:row r="8" ht="36" hidden="0" customHeight="1">
      <x:c r="A8" s="92" t="str">
        <x:v>GH-008</x:v>
      </x:c>
      <x:c r="B8" s="95" t="str">
        <x:v>Convocatorias</x:v>
      </x:c>
      <x:c r="C8" s="95" t="str">
        <x:v>Cerrar convocatoria</x:v>
      </x:c>
      <x:c r="D8" s="95" t="str">
        <x:v>Administrador</x:v>
      </x:c>
      <x:c r="E8" s="95" t="str">
        <x:v>Cerrar una convocatoria para impedir modificaciones una vez concluido el proceso.</x:v>
      </x:c>
      <x:c r="F8" s="95" t="str">
        <x:v>Proteger convocatorias finalizadas.</x:v>
      </x:c>
      <x:c r="G8" s="95" t="str">
        <x:v>Solo se cierran convocatorias activas. Se solicita confirmación. Cambia a Finalizada. Una finalizada no puede modificarse. La lista refleja el estado inmediatamente.</x:v>
      </x:c>
      <x:c r="H8" s="95" t="str">
        <x:v>Alta</x:v>
      </x:c>
      <x:c r="I8" s="95" t="str">
        <x:v>Alto</x:v>
      </x:c>
      <x:c r="J8" s="95" t="str">
        <x:v>Cerrado</x:v>
      </x:c>
      <x:c r="K8" s="95" t="str">
        <x:v>Pendiente</x:v>
      </x:c>
      <x:c r="L8" s="103" t="n">
        <x:f>COUNTIF('Casos_Prueba'!B$6:B$205,A8)</x:f>
        <x:v>3</x:v>
      </x:c>
      <x:c r="M8" s="103" t="n">
        <x:f>COUNTIFS('Casos_Prueba'!B$6:B$205,A8,'Casos_Prueba'!J$6:J$205,"&lt;&gt;Pendiente",'Casos_Prueba'!J$6:J$205,"&lt;&gt;")</x:f>
        <x:v>0</x:v>
      </x:c>
      <x:c r="N8" s="96"/>
    </x:row>
    <x:row r="9" ht="36" hidden="0" customHeight="1">
      <x:c r="A9" s="92" t="str">
        <x:v>GH-041</x:v>
      </x:c>
      <x:c r="B9" s="95" t="str">
        <x:v>Convocatorias / Backend</x:v>
      </x:c>
      <x:c r="C9" s="95" t="str">
        <x:v>Implementar conexión con endpoint de cerrar convocatoria</x:v>
      </x:c>
      <x:c r="D9" s="95" t="str">
        <x:v>Administrador</x:v>
      </x:c>
      <x:c r="E9" s="95" t="str">
        <x:v>Enviar petición real al backend al aceptar el cierre.</x:v>
      </x:c>
      <x:c r="F9" s="95" t="str">
        <x:v>Que el cierre persista realmente y la UI quede consistente.</x:v>
      </x:c>
      <x:c r="G9" s="95" t="str">
        <x:v>Aceptar en modal realiza petición real. Durante la petición hay loading y no múltiples clics. Si falla muestra error. Si es exitosa actualiza estado sin recargar y cierra modal.</x:v>
      </x:c>
      <x:c r="H9" s="95" t="str">
        <x:v>Alta</x:v>
      </x:c>
      <x:c r="I9" s="95" t="str">
        <x:v>Alto</x:v>
      </x:c>
      <x:c r="J9" s="95" t="str">
        <x:v>Cerrado</x:v>
      </x:c>
      <x:c r="K9" s="95" t="str">
        <x:v>Pendiente</x:v>
      </x:c>
      <x:c r="L9" s="103" t="n">
        <x:f>COUNTIF('Casos_Prueba'!B$6:B$205,A9)</x:f>
        <x:v>3</x:v>
      </x:c>
      <x:c r="M9" s="103" t="n">
        <x:f>COUNTIFS('Casos_Prueba'!B$6:B$205,A9,'Casos_Prueba'!J$6:J$205,"&lt;&gt;Pendiente",'Casos_Prueba'!J$6:J$205,"&lt;&gt;")</x:f>
        <x:v>0</x:v>
      </x:c>
      <x:c r="N9" s="96"/>
    </x:row>
    <x:row r="10" ht="36" hidden="0" customHeight="1">
      <x:c r="A10" s="92" t="str">
        <x:v>GH-007</x:v>
      </x:c>
      <x:c r="B10" s="95" t="str">
        <x:v>Convocatorias</x:v>
      </x:c>
      <x:c r="C10" s="95" t="str">
        <x:v>Editar convocatoria</x:v>
      </x:c>
      <x:c r="D10" s="95" t="str">
        <x:v>Administrador</x:v>
      </x:c>
      <x:c r="E10" s="95" t="str">
        <x:v>Modificar información de una convocatoria existente.</x:v>
      </x:c>
      <x:c r="F10" s="95" t="str">
        <x:v>Mantener datos actualizados durante postulación.</x:v>
      </x:c>
      <x:c r="G10" s="95" t="str">
        <x:v>Permite editar fecha cierre, descripción y fases. Guardar está deshabilitado si no hay cambios. Tras guardar, la lista refleja datos actualizados y muestra mensaje de éxito.</x:v>
      </x:c>
      <x:c r="H10" s="95" t="str">
        <x:v>Media</x:v>
      </x:c>
      <x:c r="I10" s="95" t="str">
        <x:v>Medio</x:v>
      </x:c>
      <x:c r="J10" s="95" t="str">
        <x:v>Cerrado</x:v>
      </x:c>
      <x:c r="K10" s="95" t="str">
        <x:v>Pendiente</x:v>
      </x:c>
      <x:c r="L10" s="103" t="n">
        <x:f>COUNTIF('Casos_Prueba'!B$6:B$205,A10)</x:f>
        <x:v>5</x:v>
      </x:c>
      <x:c r="M10" s="103" t="n">
        <x:f>COUNTIFS('Casos_Prueba'!B$6:B$205,A10,'Casos_Prueba'!J$6:J$205,"&lt;&gt;Pendiente",'Casos_Prueba'!J$6:J$205,"&lt;&gt;")</x:f>
        <x:v>0</x:v>
      </x:c>
      <x:c r="N10" s="96"/>
    </x:row>
    <x:row r="11" ht="24" hidden="0" customHeight="1">
      <x:c r="A11" s="92" t="str">
        <x:v>GH-009</x:v>
      </x:c>
      <x:c r="B11" s="95" t="str">
        <x:v>Convocatorias</x:v>
      </x:c>
      <x:c r="C11" s="95" t="str">
        <x:v>Buscar y filtrar convocatorias</x:v>
      </x:c>
      <x:c r="D11" s="95" t="str">
        <x:v>Administrador</x:v>
      </x:c>
      <x:c r="E11" s="95" t="str">
        <x:v>Buscar y filtrar convocatorias para localizar una específica.</x:v>
      </x:c>
      <x:c r="F11" s="95" t="str">
        <x:v>Encontrar convocatorias rápidamente.</x:v>
      </x:c>
      <x:c r="G11" s="95" t="str">
        <x:v>Busca por nombre o gestión. Filtra por Activa, Finalizada y Todas. La lista se actualiza automáticamente al aplicar filtro.</x:v>
      </x:c>
      <x:c r="H11" s="95" t="str">
        <x:v>Media</x:v>
      </x:c>
      <x:c r="I11" s="95" t="str">
        <x:v>Medio</x:v>
      </x:c>
      <x:c r="J11" s="95" t="str">
        <x:v>Cerrado</x:v>
      </x:c>
      <x:c r="K11" s="95" t="str">
        <x:v>Pendiente</x:v>
      </x:c>
      <x:c r="L11" s="103" t="n">
        <x:f>COUNTIF('Casos_Prueba'!B$6:B$205,A11)</x:f>
        <x:v>6</x:v>
      </x:c>
      <x:c r="M11" s="103" t="n">
        <x:f>COUNTIFS('Casos_Prueba'!B$6:B$205,A11,'Casos_Prueba'!J$6:J$205,"&lt;&gt;Pendiente",'Casos_Prueba'!J$6:J$205,"&lt;&gt;")</x:f>
        <x:v>0</x:v>
      </x:c>
      <x:c r="N11" s="96"/>
    </x:row>
    <x:row r="12" ht="15" hidden="0" customHeight="1">
      <x:c r="A12" s="92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103" t="n">
        <x:f>COUNTIF('Casos_Prueba'!B$6:B$205,A12)</x:f>
        <x:v>0</x:v>
      </x:c>
      <x:c r="M12" s="103" t="n">
        <x:f>COUNTIFS('Casos_Prueba'!B$6:B$205,A12,'Casos_Prueba'!J$6:J$205,"&lt;&gt;Pendiente",'Casos_Prueba'!J$6:J$205,"&lt;&gt;")</x:f>
        <x:v>0</x:v>
      </x:c>
      <x:c r="N12" s="96"/>
    </x:row>
    <x:row r="13" ht="15" hidden="0" customHeight="1">
      <x:c r="A13" s="92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103" t="n">
        <x:f>COUNTIF('Casos_Prueba'!B$6:B$205,A13)</x:f>
        <x:v>0</x:v>
      </x:c>
      <x:c r="M13" s="103" t="n">
        <x:f>COUNTIFS('Casos_Prueba'!B$6:B$205,A13,'Casos_Prueba'!J$6:J$205,"&lt;&gt;Pendiente",'Casos_Prueba'!J$6:J$205,"&lt;&gt;")</x:f>
        <x:v>0</x:v>
      </x:c>
      <x:c r="N13" s="96"/>
    </x:row>
    <x:row r="14" ht="15" hidden="0" customHeight="1">
      <x:c r="A14" s="92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103" t="n">
        <x:f>COUNTIF('Casos_Prueba'!B$6:B$205,A14)</x:f>
        <x:v>0</x:v>
      </x:c>
      <x:c r="M14" s="103" t="n">
        <x:f>COUNTIFS('Casos_Prueba'!B$6:B$205,A14,'Casos_Prueba'!J$6:J$205,"&lt;&gt;Pendiente",'Casos_Prueba'!J$6:J$205,"&lt;&gt;")</x:f>
        <x:v>0</x:v>
      </x:c>
      <x:c r="N14" s="96"/>
    </x:row>
    <x:row r="15" ht="15" hidden="0" customHeight="1">
      <x:c r="A15" s="92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103" t="n">
        <x:f>COUNTIF('Casos_Prueba'!B$6:B$205,A15)</x:f>
        <x:v>0</x:v>
      </x:c>
      <x:c r="M15" s="103" t="n">
        <x:f>COUNTIFS('Casos_Prueba'!B$6:B$205,A15,'Casos_Prueba'!J$6:J$205,"&lt;&gt;Pendiente",'Casos_Prueba'!J$6:J$205,"&lt;&gt;")</x:f>
        <x:v>0</x:v>
      </x:c>
      <x:c r="N15" s="96"/>
    </x:row>
    <x:row r="16" ht="15" hidden="0" customHeight="1">
      <x:c r="A16" s="92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103" t="n">
        <x:f>COUNTIF('Casos_Prueba'!B$6:B$205,A16)</x:f>
        <x:v>0</x:v>
      </x:c>
      <x:c r="M16" s="103" t="n">
        <x:f>COUNTIFS('Casos_Prueba'!B$6:B$205,A16,'Casos_Prueba'!J$6:J$205,"&lt;&gt;Pendiente",'Casos_Prueba'!J$6:J$205,"&lt;&gt;")</x:f>
        <x:v>0</x:v>
      </x:c>
      <x:c r="N16" s="96"/>
    </x:row>
    <x:row r="17" ht="15" hidden="0" customHeight="1">
      <x:c r="A17" s="92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103" t="n">
        <x:f>COUNTIF('Casos_Prueba'!B$6:B$205,A17)</x:f>
        <x:v>0</x:v>
      </x:c>
      <x:c r="M17" s="103" t="n">
        <x:f>COUNTIFS('Casos_Prueba'!B$6:B$205,A17,'Casos_Prueba'!J$6:J$205,"&lt;&gt;Pendiente",'Casos_Prueba'!J$6:J$205,"&lt;&gt;")</x:f>
        <x:v>0</x:v>
      </x:c>
      <x:c r="N17" s="96"/>
    </x:row>
    <x:row r="18" ht="15" hidden="0" customHeight="1">
      <x:c r="A18" s="92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103" t="n">
        <x:f>COUNTIF('Casos_Prueba'!B$6:B$205,A18)</x:f>
        <x:v>0</x:v>
      </x:c>
      <x:c r="M18" s="103" t="n">
        <x:f>COUNTIFS('Casos_Prueba'!B$6:B$205,A18,'Casos_Prueba'!J$6:J$205,"&lt;&gt;Pendiente",'Casos_Prueba'!J$6:J$205,"&lt;&gt;")</x:f>
        <x:v>0</x:v>
      </x:c>
      <x:c r="N18" s="96"/>
    </x:row>
    <x:row r="19" ht="15" hidden="0" customHeight="1">
      <x:c r="A19" s="92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103" t="n">
        <x:f>COUNTIF('Casos_Prueba'!B$6:B$205,A19)</x:f>
        <x:v>0</x:v>
      </x:c>
      <x:c r="M19" s="103" t="n">
        <x:f>COUNTIFS('Casos_Prueba'!B$6:B$205,A19,'Casos_Prueba'!J$6:J$205,"&lt;&gt;Pendiente",'Casos_Prueba'!J$6:J$205,"&lt;&gt;")</x:f>
        <x:v>0</x:v>
      </x:c>
      <x:c r="N19" s="96"/>
    </x:row>
    <x:row r="20" ht="15" hidden="0" customHeight="1">
      <x:c r="A20" s="92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103" t="n">
        <x:f>COUNTIF('Casos_Prueba'!B$6:B$205,A20)</x:f>
        <x:v>0</x:v>
      </x:c>
      <x:c r="M20" s="103" t="n">
        <x:f>COUNTIFS('Casos_Prueba'!B$6:B$205,A20,'Casos_Prueba'!J$6:J$205,"&lt;&gt;Pendiente",'Casos_Prueba'!J$6:J$205,"&lt;&gt;")</x:f>
        <x:v>0</x:v>
      </x:c>
      <x:c r="N20" s="96"/>
    </x:row>
    <x:row r="21" ht="15" hidden="0" customHeight="1">
      <x:c r="A21" s="92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103" t="n">
        <x:f>COUNTIF('Casos_Prueba'!B$6:B$205,A21)</x:f>
        <x:v>0</x:v>
      </x:c>
      <x:c r="M21" s="103" t="n">
        <x:f>COUNTIFS('Casos_Prueba'!B$6:B$205,A21,'Casos_Prueba'!J$6:J$205,"&lt;&gt;Pendiente",'Casos_Prueba'!J$6:J$205,"&lt;&gt;")</x:f>
        <x:v>0</x:v>
      </x:c>
      <x:c r="N21" s="96"/>
    </x:row>
    <x:row r="22" ht="15" hidden="0" customHeight="1">
      <x:c r="A22" s="92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103" t="n">
        <x:f>COUNTIF('Casos_Prueba'!B$6:B$205,A22)</x:f>
        <x:v>0</x:v>
      </x:c>
      <x:c r="M22" s="103" t="n">
        <x:f>COUNTIFS('Casos_Prueba'!B$6:B$205,A22,'Casos_Prueba'!J$6:J$205,"&lt;&gt;Pendiente",'Casos_Prueba'!J$6:J$205,"&lt;&gt;")</x:f>
        <x:v>0</x:v>
      </x:c>
      <x:c r="N22" s="96"/>
    </x:row>
    <x:row r="23" ht="15" hidden="0" customHeight="1">
      <x:c r="A23" s="92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103" t="n">
        <x:f>COUNTIF('Casos_Prueba'!B$6:B$205,A23)</x:f>
        <x:v>0</x:v>
      </x:c>
      <x:c r="M23" s="103" t="n">
        <x:f>COUNTIFS('Casos_Prueba'!B$6:B$205,A23,'Casos_Prueba'!J$6:J$205,"&lt;&gt;Pendiente",'Casos_Prueba'!J$6:J$205,"&lt;&gt;")</x:f>
        <x:v>0</x:v>
      </x:c>
      <x:c r="N23" s="96"/>
    </x:row>
    <x:row r="24" ht="15" hidden="0" customHeight="1">
      <x:c r="A24" s="92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103" t="n">
        <x:f>COUNTIF('Casos_Prueba'!B$6:B$205,A24)</x:f>
        <x:v>0</x:v>
      </x:c>
      <x:c r="M24" s="103" t="n">
        <x:f>COUNTIFS('Casos_Prueba'!B$6:B$205,A24,'Casos_Prueba'!J$6:J$205,"&lt;&gt;Pendiente",'Casos_Prueba'!J$6:J$205,"&lt;&gt;")</x:f>
        <x:v>0</x:v>
      </x:c>
      <x:c r="N24" s="96"/>
    </x:row>
    <x:row r="25" ht="15" hidden="0" customHeight="1">
      <x:c r="A25" s="92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103" t="n">
        <x:f>COUNTIF('Casos_Prueba'!B$6:B$205,A25)</x:f>
        <x:v>0</x:v>
      </x:c>
      <x:c r="M25" s="103" t="n">
        <x:f>COUNTIFS('Casos_Prueba'!B$6:B$205,A25,'Casos_Prueba'!J$6:J$205,"&lt;&gt;Pendiente",'Casos_Prueba'!J$6:J$205,"&lt;&gt;")</x:f>
        <x:v>0</x:v>
      </x:c>
      <x:c r="N25" s="96"/>
    </x:row>
    <x:row r="26" ht="15" hidden="0" customHeight="1">
      <x:c r="A26" s="92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103" t="n">
        <x:f>COUNTIF('Casos_Prueba'!B$6:B$205,A26)</x:f>
        <x:v>0</x:v>
      </x:c>
      <x:c r="M26" s="103" t="n">
        <x:f>COUNTIFS('Casos_Prueba'!B$6:B$205,A26,'Casos_Prueba'!J$6:J$205,"&lt;&gt;Pendiente",'Casos_Prueba'!J$6:J$205,"&lt;&gt;")</x:f>
        <x:v>0</x:v>
      </x:c>
      <x:c r="N26" s="96"/>
    </x:row>
    <x:row r="27" ht="15" hidden="0" customHeight="1">
      <x:c r="A27" s="92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103" t="n">
        <x:f>COUNTIF('Casos_Prueba'!B$6:B$205,A27)</x:f>
        <x:v>0</x:v>
      </x:c>
      <x:c r="M27" s="103" t="n">
        <x:f>COUNTIFS('Casos_Prueba'!B$6:B$205,A27,'Casos_Prueba'!J$6:J$205,"&lt;&gt;Pendiente",'Casos_Prueba'!J$6:J$205,"&lt;&gt;")</x:f>
        <x:v>0</x:v>
      </x:c>
      <x:c r="N27" s="96"/>
    </x:row>
    <x:row r="28" ht="15" hidden="0" customHeight="1">
      <x:c r="A28" s="92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103" t="n">
        <x:f>COUNTIF('Casos_Prueba'!B$6:B$205,A28)</x:f>
        <x:v>0</x:v>
      </x:c>
      <x:c r="M28" s="103" t="n">
        <x:f>COUNTIFS('Casos_Prueba'!B$6:B$205,A28,'Casos_Prueba'!J$6:J$205,"&lt;&gt;Pendiente",'Casos_Prueba'!J$6:J$205,"&lt;&gt;")</x:f>
        <x:v>0</x:v>
      </x:c>
      <x:c r="N28" s="96"/>
    </x:row>
    <x:row r="29" ht="15" hidden="0" customHeight="1">
      <x:c r="A29" s="92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103" t="n">
        <x:f>COUNTIF('Casos_Prueba'!B$6:B$205,A29)</x:f>
        <x:v>0</x:v>
      </x:c>
      <x:c r="M29" s="103" t="n">
        <x:f>COUNTIFS('Casos_Prueba'!B$6:B$205,A29,'Casos_Prueba'!J$6:J$205,"&lt;&gt;Pendiente",'Casos_Prueba'!J$6:J$205,"&lt;&gt;")</x:f>
        <x:v>0</x:v>
      </x:c>
      <x:c r="N29" s="96"/>
    </x:row>
    <x:row r="30" ht="15" hidden="0" customHeight="1">
      <x:c r="A30" s="92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103" t="n">
        <x:f>COUNTIF('Casos_Prueba'!B$6:B$205,A30)</x:f>
        <x:v>0</x:v>
      </x:c>
      <x:c r="M30" s="103" t="n">
        <x:f>COUNTIFS('Casos_Prueba'!B$6:B$205,A30,'Casos_Prueba'!J$6:J$205,"&lt;&gt;Pendiente",'Casos_Prueba'!J$6:J$205,"&lt;&gt;")</x:f>
        <x:v>0</x:v>
      </x:c>
      <x:c r="N30" s="96"/>
    </x:row>
    <x:row r="31" ht="15" hidden="0" customHeight="1">
      <x:c r="A31" s="92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103" t="n">
        <x:f>COUNTIF('Casos_Prueba'!B$6:B$205,A31)</x:f>
        <x:v>0</x:v>
      </x:c>
      <x:c r="M31" s="103" t="n">
        <x:f>COUNTIFS('Casos_Prueba'!B$6:B$205,A31,'Casos_Prueba'!J$6:J$205,"&lt;&gt;Pendiente",'Casos_Prueba'!J$6:J$205,"&lt;&gt;")</x:f>
        <x:v>0</x:v>
      </x:c>
      <x:c r="N31" s="96"/>
    </x:row>
    <x:row r="32" ht="15" hidden="0" customHeight="1">
      <x:c r="A32" s="92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103" t="n">
        <x:f>COUNTIF('Casos_Prueba'!B$6:B$205,A32)</x:f>
        <x:v>0</x:v>
      </x:c>
      <x:c r="M32" s="103" t="n">
        <x:f>COUNTIFS('Casos_Prueba'!B$6:B$205,A32,'Casos_Prueba'!J$6:J$205,"&lt;&gt;Pendiente",'Casos_Prueba'!J$6:J$205,"&lt;&gt;")</x:f>
        <x:v>0</x:v>
      </x:c>
      <x:c r="N32" s="96"/>
    </x:row>
    <x:row r="33" ht="15" hidden="0" customHeight="1">
      <x:c r="A33" s="92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103" t="n">
        <x:f>COUNTIF('Casos_Prueba'!B$6:B$205,A33)</x:f>
        <x:v>0</x:v>
      </x:c>
      <x:c r="M33" s="103" t="n">
        <x:f>COUNTIFS('Casos_Prueba'!B$6:B$205,A33,'Casos_Prueba'!J$6:J$205,"&lt;&gt;Pendiente",'Casos_Prueba'!J$6:J$205,"&lt;&gt;")</x:f>
        <x:v>0</x:v>
      </x:c>
      <x:c r="N33" s="96"/>
    </x:row>
    <x:row r="34" ht="15" hidden="0" customHeight="1">
      <x:c r="A34" s="92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103" t="n">
        <x:f>COUNTIF('Casos_Prueba'!B$6:B$205,A34)</x:f>
        <x:v>0</x:v>
      </x:c>
      <x:c r="M34" s="103" t="n">
        <x:f>COUNTIFS('Casos_Prueba'!B$6:B$205,A34,'Casos_Prueba'!J$6:J$205,"&lt;&gt;Pendiente",'Casos_Prueba'!J$6:J$205,"&lt;&gt;")</x:f>
        <x:v>0</x:v>
      </x:c>
      <x:c r="N34" s="96"/>
    </x:row>
    <x:row r="35" ht="15" hidden="0" customHeight="1">
      <x:c r="A35" s="92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103" t="n">
        <x:f>COUNTIF('Casos_Prueba'!B$6:B$205,A35)</x:f>
        <x:v>0</x:v>
      </x:c>
      <x:c r="M35" s="103" t="n">
        <x:f>COUNTIFS('Casos_Prueba'!B$6:B$205,A35,'Casos_Prueba'!J$6:J$205,"&lt;&gt;Pendiente",'Casos_Prueba'!J$6:J$205,"&lt;&gt;")</x:f>
        <x:v>0</x:v>
      </x:c>
      <x:c r="N35" s="96"/>
    </x:row>
    <x:row r="36" ht="15" hidden="0" customHeight="1">
      <x:c r="A36" s="92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103" t="n">
        <x:f>COUNTIF('Casos_Prueba'!B$6:B$205,A36)</x:f>
        <x:v>0</x:v>
      </x:c>
      <x:c r="M36" s="103" t="n">
        <x:f>COUNTIFS('Casos_Prueba'!B$6:B$205,A36,'Casos_Prueba'!J$6:J$205,"&lt;&gt;Pendiente",'Casos_Prueba'!J$6:J$205,"&lt;&gt;")</x:f>
        <x:v>0</x:v>
      </x:c>
      <x:c r="N36" s="96"/>
    </x:row>
    <x:row r="37" ht="15" hidden="0" customHeight="1">
      <x:c r="A37" s="92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103" t="n">
        <x:f>COUNTIF('Casos_Prueba'!B$6:B$205,A37)</x:f>
        <x:v>0</x:v>
      </x:c>
      <x:c r="M37" s="103" t="n">
        <x:f>COUNTIFS('Casos_Prueba'!B$6:B$205,A37,'Casos_Prueba'!J$6:J$205,"&lt;&gt;Pendiente",'Casos_Prueba'!J$6:J$205,"&lt;&gt;")</x:f>
        <x:v>0</x:v>
      </x:c>
      <x:c r="N37" s="96"/>
    </x:row>
    <x:row r="38" ht="15" hidden="0" customHeight="1">
      <x:c r="A38" s="92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103" t="n">
        <x:f>COUNTIF('Casos_Prueba'!B$6:B$205,A38)</x:f>
        <x:v>0</x:v>
      </x:c>
      <x:c r="M38" s="103" t="n">
        <x:f>COUNTIFS('Casos_Prueba'!B$6:B$205,A38,'Casos_Prueba'!J$6:J$205,"&lt;&gt;Pendiente",'Casos_Prueba'!J$6:J$205,"&lt;&gt;")</x:f>
        <x:v>0</x:v>
      </x:c>
      <x:c r="N38" s="96"/>
    </x:row>
    <x:row r="39" ht="15" hidden="0" customHeight="1">
      <x:c r="A39" s="92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103" t="n">
        <x:f>COUNTIF('Casos_Prueba'!B$6:B$205,A39)</x:f>
        <x:v>0</x:v>
      </x:c>
      <x:c r="M39" s="103" t="n">
        <x:f>COUNTIFS('Casos_Prueba'!B$6:B$205,A39,'Casos_Prueba'!J$6:J$205,"&lt;&gt;Pendiente",'Casos_Prueba'!J$6:J$205,"&lt;&gt;")</x:f>
        <x:v>0</x:v>
      </x:c>
      <x:c r="N39" s="96"/>
    </x:row>
    <x:row r="40" ht="15" hidden="0" customHeight="1">
      <x:c r="A40" s="92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103" t="n">
        <x:f>COUNTIF('Casos_Prueba'!B$6:B$205,A40)</x:f>
        <x:v>0</x:v>
      </x:c>
      <x:c r="M40" s="103" t="n">
        <x:f>COUNTIFS('Casos_Prueba'!B$6:B$205,A40,'Casos_Prueba'!J$6:J$205,"&lt;&gt;Pendiente",'Casos_Prueba'!J$6:J$205,"&lt;&gt;")</x:f>
        <x:v>0</x:v>
      </x:c>
      <x:c r="N40" s="96"/>
    </x:row>
    <x:row r="41" ht="15" hidden="0" customHeight="1">
      <x:c r="A41" s="92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103" t="n">
        <x:f>COUNTIF('Casos_Prueba'!B$6:B$205,A41)</x:f>
        <x:v>0</x:v>
      </x:c>
      <x:c r="M41" s="103" t="n">
        <x:f>COUNTIFS('Casos_Prueba'!B$6:B$205,A41,'Casos_Prueba'!J$6:J$205,"&lt;&gt;Pendiente",'Casos_Prueba'!J$6:J$205,"&lt;&gt;")</x:f>
        <x:v>0</x:v>
      </x:c>
      <x:c r="N41" s="96"/>
    </x:row>
    <x:row r="42" ht="15" hidden="0" customHeight="1">
      <x:c r="A42" s="92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103" t="n">
        <x:f>COUNTIF('Casos_Prueba'!B$6:B$205,A42)</x:f>
        <x:v>0</x:v>
      </x:c>
      <x:c r="M42" s="103" t="n">
        <x:f>COUNTIFS('Casos_Prueba'!B$6:B$205,A42,'Casos_Prueba'!J$6:J$205,"&lt;&gt;Pendiente",'Casos_Prueba'!J$6:J$205,"&lt;&gt;")</x:f>
        <x:v>0</x:v>
      </x:c>
      <x:c r="N42" s="96"/>
    </x:row>
    <x:row r="43" ht="15" hidden="0" customHeight="1">
      <x:c r="A43" s="92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103" t="n">
        <x:f>COUNTIF('Casos_Prueba'!B$6:B$205,A43)</x:f>
        <x:v>0</x:v>
      </x:c>
      <x:c r="M43" s="103" t="n">
        <x:f>COUNTIFS('Casos_Prueba'!B$6:B$205,A43,'Casos_Prueba'!J$6:J$205,"&lt;&gt;Pendiente",'Casos_Prueba'!J$6:J$205,"&lt;&gt;")</x:f>
        <x:v>0</x:v>
      </x:c>
      <x:c r="N43" s="96"/>
    </x:row>
    <x:row r="44" ht="15" hidden="0" customHeight="1">
      <x:c r="A44" s="92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103" t="n">
        <x:f>COUNTIF('Casos_Prueba'!B$6:B$205,A44)</x:f>
        <x:v>0</x:v>
      </x:c>
      <x:c r="M44" s="103" t="n">
        <x:f>COUNTIFS('Casos_Prueba'!B$6:B$205,A44,'Casos_Prueba'!J$6:J$205,"&lt;&gt;Pendiente",'Casos_Prueba'!J$6:J$205,"&lt;&gt;")</x:f>
        <x:v>0</x:v>
      </x:c>
      <x:c r="N44" s="96"/>
    </x:row>
    <x:row r="45" ht="15" hidden="0" customHeight="1">
      <x:c r="A45" s="92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103" t="n">
        <x:f>COUNTIF('Casos_Prueba'!B$6:B$205,A45)</x:f>
        <x:v>0</x:v>
      </x:c>
      <x:c r="M45" s="103" t="n">
        <x:f>COUNTIFS('Casos_Prueba'!B$6:B$205,A45,'Casos_Prueba'!J$6:J$205,"&lt;&gt;Pendiente",'Casos_Prueba'!J$6:J$205,"&lt;&gt;")</x:f>
        <x:v>0</x:v>
      </x:c>
      <x:c r="N45" s="96"/>
    </x:row>
    <x:row r="46" ht="15" hidden="0" customHeight="1">
      <x:c r="A46" s="92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103" t="n">
        <x:f>COUNTIF('Casos_Prueba'!B$6:B$205,A46)</x:f>
        <x:v>0</x:v>
      </x:c>
      <x:c r="M46" s="103" t="n">
        <x:f>COUNTIFS('Casos_Prueba'!B$6:B$205,A46,'Casos_Prueba'!J$6:J$205,"&lt;&gt;Pendiente",'Casos_Prueba'!J$6:J$205,"&lt;&gt;")</x:f>
        <x:v>0</x:v>
      </x:c>
      <x:c r="N46" s="96"/>
    </x:row>
    <x:row r="47" ht="15" hidden="0" customHeight="1">
      <x:c r="A47" s="92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103" t="n">
        <x:f>COUNTIF('Casos_Prueba'!B$6:B$205,A47)</x:f>
        <x:v>0</x:v>
      </x:c>
      <x:c r="M47" s="103" t="n">
        <x:f>COUNTIFS('Casos_Prueba'!B$6:B$205,A47,'Casos_Prueba'!J$6:J$205,"&lt;&gt;Pendiente",'Casos_Prueba'!J$6:J$205,"&lt;&gt;")</x:f>
        <x:v>0</x:v>
      </x:c>
      <x:c r="N47" s="96"/>
    </x:row>
    <x:row r="48" ht="15" hidden="0" customHeight="1">
      <x:c r="A48" s="92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103" t="n">
        <x:f>COUNTIF('Casos_Prueba'!B$6:B$205,A48)</x:f>
        <x:v>0</x:v>
      </x:c>
      <x:c r="M48" s="103" t="n">
        <x:f>COUNTIFS('Casos_Prueba'!B$6:B$205,A48,'Casos_Prueba'!J$6:J$205,"&lt;&gt;Pendiente",'Casos_Prueba'!J$6:J$205,"&lt;&gt;")</x:f>
        <x:v>0</x:v>
      </x:c>
      <x:c r="N48" s="96"/>
    </x:row>
    <x:row r="49" ht="15" hidden="0" customHeight="1">
      <x:c r="A49" s="92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103" t="n">
        <x:f>COUNTIF('Casos_Prueba'!B$6:B$205,A49)</x:f>
        <x:v>0</x:v>
      </x:c>
      <x:c r="M49" s="103" t="n">
        <x:f>COUNTIFS('Casos_Prueba'!B$6:B$205,A49,'Casos_Prueba'!J$6:J$205,"&lt;&gt;Pendiente",'Casos_Prueba'!J$6:J$205,"&lt;&gt;")</x:f>
        <x:v>0</x:v>
      </x:c>
      <x:c r="N49" s="96"/>
    </x:row>
    <x:row r="50" ht="15" hidden="0" customHeight="1">
      <x:c r="A50" s="92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103" t="n">
        <x:f>COUNTIF('Casos_Prueba'!B$6:B$205,A50)</x:f>
        <x:v>0</x:v>
      </x:c>
      <x:c r="M50" s="103" t="n">
        <x:f>COUNTIFS('Casos_Prueba'!B$6:B$205,A50,'Casos_Prueba'!J$6:J$205,"&lt;&gt;Pendiente",'Casos_Prueba'!J$6:J$205,"&lt;&gt;")</x:f>
        <x:v>0</x:v>
      </x:c>
      <x:c r="N50" s="96"/>
    </x:row>
    <x:row r="51" ht="15" hidden="0" customHeight="1">
      <x:c r="A51" s="92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103" t="n">
        <x:f>COUNTIF('Casos_Prueba'!B$6:B$205,A51)</x:f>
        <x:v>0</x:v>
      </x:c>
      <x:c r="M51" s="103" t="n">
        <x:f>COUNTIFS('Casos_Prueba'!B$6:B$205,A51,'Casos_Prueba'!J$6:J$205,"&lt;&gt;Pendiente",'Casos_Prueba'!J$6:J$205,"&lt;&gt;")</x:f>
        <x:v>0</x:v>
      </x:c>
      <x:c r="N51" s="96"/>
    </x:row>
    <x:row r="52" ht="15" hidden="0" customHeight="1">
      <x:c r="A52" s="92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103" t="n">
        <x:f>COUNTIF('Casos_Prueba'!B$6:B$205,A52)</x:f>
        <x:v>0</x:v>
      </x:c>
      <x:c r="M52" s="103" t="n">
        <x:f>COUNTIFS('Casos_Prueba'!B$6:B$205,A52,'Casos_Prueba'!J$6:J$205,"&lt;&gt;Pendiente",'Casos_Prueba'!J$6:J$205,"&lt;&gt;")</x:f>
        <x:v>0</x:v>
      </x:c>
      <x:c r="N52" s="96"/>
    </x:row>
    <x:row r="53" ht="15" hidden="0" customHeight="1">
      <x:c r="A53" s="92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103" t="n">
        <x:f>COUNTIF('Casos_Prueba'!B$6:B$205,A53)</x:f>
        <x:v>0</x:v>
      </x:c>
      <x:c r="M53" s="103" t="n">
        <x:f>COUNTIFS('Casos_Prueba'!B$6:B$205,A53,'Casos_Prueba'!J$6:J$205,"&lt;&gt;Pendiente",'Casos_Prueba'!J$6:J$205,"&lt;&gt;")</x:f>
        <x:v>0</x:v>
      </x:c>
      <x:c r="N53" s="96"/>
    </x:row>
    <x:row r="54" ht="15" hidden="0" customHeight="1">
      <x:c r="A54" s="92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103" t="n">
        <x:f>COUNTIF('Casos_Prueba'!B$6:B$205,A54)</x:f>
        <x:v>0</x:v>
      </x:c>
      <x:c r="M54" s="103" t="n">
        <x:f>COUNTIFS('Casos_Prueba'!B$6:B$205,A54,'Casos_Prueba'!J$6:J$205,"&lt;&gt;Pendiente",'Casos_Prueba'!J$6:J$205,"&lt;&gt;")</x:f>
        <x:v>0</x:v>
      </x:c>
      <x:c r="N54" s="96"/>
    </x:row>
    <x:row r="55" ht="15" hidden="0" customHeight="1">
      <x:c r="A55" s="92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103" t="n">
        <x:f>COUNTIF('Casos_Prueba'!B$6:B$205,A55)</x:f>
        <x:v>0</x:v>
      </x:c>
      <x:c r="M55" s="103" t="n">
        <x:f>COUNTIFS('Casos_Prueba'!B$6:B$205,A55,'Casos_Prueba'!J$6:J$205,"&lt;&gt;Pendiente",'Casos_Prueba'!J$6:J$205,"&lt;&gt;")</x:f>
        <x:v>0</x:v>
      </x:c>
      <x:c r="N55" s="96"/>
    </x:row>
    <x:row r="56" ht="15" hidden="0" customHeight="1">
      <x:c r="A56" s="92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103" t="n">
        <x:f>COUNTIF('Casos_Prueba'!B$6:B$205,A56)</x:f>
        <x:v>0</x:v>
      </x:c>
      <x:c r="M56" s="103" t="n">
        <x:f>COUNTIFS('Casos_Prueba'!B$6:B$205,A56,'Casos_Prueba'!J$6:J$205,"&lt;&gt;Pendiente",'Casos_Prueba'!J$6:J$205,"&lt;&gt;")</x:f>
        <x:v>0</x:v>
      </x:c>
      <x:c r="N56" s="96"/>
    </x:row>
    <x:row r="57" ht="15" hidden="0" customHeight="1">
      <x:c r="A57" s="92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103" t="n">
        <x:f>COUNTIF('Casos_Prueba'!B$6:B$205,A57)</x:f>
        <x:v>0</x:v>
      </x:c>
      <x:c r="M57" s="103" t="n">
        <x:f>COUNTIFS('Casos_Prueba'!B$6:B$205,A57,'Casos_Prueba'!J$6:J$205,"&lt;&gt;Pendiente",'Casos_Prueba'!J$6:J$205,"&lt;&gt;")</x:f>
        <x:v>0</x:v>
      </x:c>
      <x:c r="N57" s="96"/>
    </x:row>
    <x:row r="58" ht="15" hidden="0" customHeight="1">
      <x:c r="A58" s="92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103" t="n">
        <x:f>COUNTIF('Casos_Prueba'!B$6:B$205,A58)</x:f>
        <x:v>0</x:v>
      </x:c>
      <x:c r="M58" s="103" t="n">
        <x:f>COUNTIFS('Casos_Prueba'!B$6:B$205,A58,'Casos_Prueba'!J$6:J$205,"&lt;&gt;Pendiente",'Casos_Prueba'!J$6:J$205,"&lt;&gt;")</x:f>
        <x:v>0</x:v>
      </x:c>
      <x:c r="N58" s="96"/>
    </x:row>
    <x:row r="59" ht="15" hidden="0" customHeight="1">
      <x:c r="A59" s="92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103" t="n">
        <x:f>COUNTIF('Casos_Prueba'!B$6:B$205,A59)</x:f>
        <x:v>0</x:v>
      </x:c>
      <x:c r="M59" s="103" t="n">
        <x:f>COUNTIFS('Casos_Prueba'!B$6:B$205,A59,'Casos_Prueba'!J$6:J$205,"&lt;&gt;Pendiente",'Casos_Prueba'!J$6:J$205,"&lt;&gt;")</x:f>
        <x:v>0</x:v>
      </x:c>
      <x:c r="N59" s="96"/>
    </x:row>
    <x:row r="60" ht="15" hidden="0" customHeight="1">
      <x:c r="A60" s="92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103" t="n">
        <x:f>COUNTIF('Casos_Prueba'!B$6:B$205,A60)</x:f>
        <x:v>0</x:v>
      </x:c>
      <x:c r="M60" s="103" t="n">
        <x:f>COUNTIFS('Casos_Prueba'!B$6:B$205,A60,'Casos_Prueba'!J$6:J$205,"&lt;&gt;Pendiente",'Casos_Prueba'!J$6:J$205,"&lt;&gt;")</x:f>
        <x:v>0</x:v>
      </x:c>
      <x:c r="N60" s="96"/>
    </x:row>
    <x:row r="61" ht="15" hidden="0" customHeight="1">
      <x:c r="A61" s="92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103" t="n">
        <x:f>COUNTIF('Casos_Prueba'!B$6:B$205,A61)</x:f>
        <x:v>0</x:v>
      </x:c>
      <x:c r="M61" s="103" t="n">
        <x:f>COUNTIFS('Casos_Prueba'!B$6:B$205,A61,'Casos_Prueba'!J$6:J$205,"&lt;&gt;Pendiente",'Casos_Prueba'!J$6:J$205,"&lt;&gt;")</x:f>
        <x:v>0</x:v>
      </x:c>
      <x:c r="N61" s="96"/>
    </x:row>
    <x:row r="62" ht="15" hidden="0" customHeight="1">
      <x:c r="A62" s="92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103" t="n">
        <x:f>COUNTIF('Casos_Prueba'!B$6:B$205,A62)</x:f>
        <x:v>0</x:v>
      </x:c>
      <x:c r="M62" s="103" t="n">
        <x:f>COUNTIFS('Casos_Prueba'!B$6:B$205,A62,'Casos_Prueba'!J$6:J$205,"&lt;&gt;Pendiente",'Casos_Prueba'!J$6:J$205,"&lt;&gt;")</x:f>
        <x:v>0</x:v>
      </x:c>
      <x:c r="N62" s="96"/>
    </x:row>
    <x:row r="63" ht="15" hidden="0" customHeight="1">
      <x:c r="A63" s="92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103" t="n">
        <x:f>COUNTIF('Casos_Prueba'!B$6:B$205,A63)</x:f>
        <x:v>0</x:v>
      </x:c>
      <x:c r="M63" s="103" t="n">
        <x:f>COUNTIFS('Casos_Prueba'!B$6:B$205,A63,'Casos_Prueba'!J$6:J$205,"&lt;&gt;Pendiente",'Casos_Prueba'!J$6:J$205,"&lt;&gt;")</x:f>
        <x:v>0</x:v>
      </x:c>
      <x:c r="N63" s="96"/>
    </x:row>
    <x:row r="64" ht="15" hidden="0" customHeight="1">
      <x:c r="A64" s="92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103" t="n">
        <x:f>COUNTIF('Casos_Prueba'!B$6:B$205,A64)</x:f>
        <x:v>0</x:v>
      </x:c>
      <x:c r="M64" s="103" t="n">
        <x:f>COUNTIFS('Casos_Prueba'!B$6:B$205,A64,'Casos_Prueba'!J$6:J$205,"&lt;&gt;Pendiente",'Casos_Prueba'!J$6:J$205,"&lt;&gt;")</x:f>
        <x:v>0</x:v>
      </x:c>
      <x:c r="N64" s="96"/>
    </x:row>
    <x:row r="65" ht="15" hidden="0" customHeight="1">
      <x:c r="A65" s="92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103" t="n">
        <x:f>COUNTIF('Casos_Prueba'!B$6:B$205,A65)</x:f>
        <x:v>0</x:v>
      </x:c>
      <x:c r="M65" s="103" t="n">
        <x:f>COUNTIFS('Casos_Prueba'!B$6:B$205,A65,'Casos_Prueba'!J$6:J$205,"&lt;&gt;Pendiente",'Casos_Prueba'!J$6:J$205,"&lt;&gt;")</x:f>
        <x:v>0</x:v>
      </x:c>
      <x:c r="N65" s="96"/>
    </x:row>
    <x:row r="66" ht="15" hidden="0" customHeight="1">
      <x:c r="A66" s="92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103" t="n">
        <x:f>COUNTIF('Casos_Prueba'!B$6:B$205,A66)</x:f>
        <x:v>0</x:v>
      </x:c>
      <x:c r="M66" s="103" t="n">
        <x:f>COUNTIFS('Casos_Prueba'!B$6:B$205,A66,'Casos_Prueba'!J$6:J$205,"&lt;&gt;Pendiente",'Casos_Prueba'!J$6:J$205,"&lt;&gt;")</x:f>
        <x:v>0</x:v>
      </x:c>
      <x:c r="N66" s="96"/>
    </x:row>
    <x:row r="67" ht="15" hidden="0" customHeight="1">
      <x:c r="A67" s="92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103" t="n">
        <x:f>COUNTIF('Casos_Prueba'!B$6:B$205,A67)</x:f>
        <x:v>0</x:v>
      </x:c>
      <x:c r="M67" s="103" t="n">
        <x:f>COUNTIFS('Casos_Prueba'!B$6:B$205,A67,'Casos_Prueba'!J$6:J$205,"&lt;&gt;Pendiente",'Casos_Prueba'!J$6:J$205,"&lt;&gt;")</x:f>
        <x:v>0</x:v>
      </x:c>
      <x:c r="N67" s="96"/>
    </x:row>
    <x:row r="68" ht="15" hidden="0" customHeight="1">
      <x:c r="A68" s="92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103" t="n">
        <x:f>COUNTIF('Casos_Prueba'!B$6:B$205,A68)</x:f>
        <x:v>0</x:v>
      </x:c>
      <x:c r="M68" s="103" t="n">
        <x:f>COUNTIFS('Casos_Prueba'!B$6:B$205,A68,'Casos_Prueba'!J$6:J$205,"&lt;&gt;Pendiente",'Casos_Prueba'!J$6:J$205,"&lt;&gt;")</x:f>
        <x:v>0</x:v>
      </x:c>
      <x:c r="N68" s="96"/>
    </x:row>
    <x:row r="69" ht="15" hidden="0" customHeight="1">
      <x:c r="A69" s="92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103" t="n">
        <x:f>COUNTIF('Casos_Prueba'!B$6:B$205,A69)</x:f>
        <x:v>0</x:v>
      </x:c>
      <x:c r="M69" s="103" t="n">
        <x:f>COUNTIFS('Casos_Prueba'!B$6:B$205,A69,'Casos_Prueba'!J$6:J$205,"&lt;&gt;Pendiente",'Casos_Prueba'!J$6:J$205,"&lt;&gt;")</x:f>
        <x:v>0</x:v>
      </x:c>
      <x:c r="N69" s="96"/>
    </x:row>
    <x:row r="70" ht="15" hidden="0" customHeight="1">
      <x:c r="A70" s="92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103" t="n">
        <x:f>COUNTIF('Casos_Prueba'!B$6:B$205,A70)</x:f>
        <x:v>0</x:v>
      </x:c>
      <x:c r="M70" s="103" t="n">
        <x:f>COUNTIFS('Casos_Prueba'!B$6:B$205,A70,'Casos_Prueba'!J$6:J$205,"&lt;&gt;Pendiente",'Casos_Prueba'!J$6:J$205,"&lt;&gt;")</x:f>
        <x:v>0</x:v>
      </x:c>
      <x:c r="N70" s="96"/>
    </x:row>
    <x:row r="71" ht="15" hidden="0" customHeight="1">
      <x:c r="A71" s="92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103" t="n">
        <x:f>COUNTIF('Casos_Prueba'!B$6:B$205,A71)</x:f>
        <x:v>0</x:v>
      </x:c>
      <x:c r="M71" s="103" t="n">
        <x:f>COUNTIFS('Casos_Prueba'!B$6:B$205,A71,'Casos_Prueba'!J$6:J$205,"&lt;&gt;Pendiente",'Casos_Prueba'!J$6:J$205,"&lt;&gt;")</x:f>
        <x:v>0</x:v>
      </x:c>
      <x:c r="N71" s="96"/>
    </x:row>
    <x:row r="72" ht="15" hidden="0" customHeight="1">
      <x:c r="A72" s="92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103" t="n">
        <x:f>COUNTIF('Casos_Prueba'!B$6:B$205,A72)</x:f>
        <x:v>0</x:v>
      </x:c>
      <x:c r="M72" s="103" t="n">
        <x:f>COUNTIFS('Casos_Prueba'!B$6:B$205,A72,'Casos_Prueba'!J$6:J$205,"&lt;&gt;Pendiente",'Casos_Prueba'!J$6:J$205,"&lt;&gt;")</x:f>
        <x:v>0</x:v>
      </x:c>
      <x:c r="N72" s="96"/>
    </x:row>
    <x:row r="73" ht="15" hidden="0" customHeight="1">
      <x:c r="A73" s="92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103" t="n">
        <x:f>COUNTIF('Casos_Prueba'!B$6:B$205,A73)</x:f>
        <x:v>0</x:v>
      </x:c>
      <x:c r="M73" s="103" t="n">
        <x:f>COUNTIFS('Casos_Prueba'!B$6:B$205,A73,'Casos_Prueba'!J$6:J$205,"&lt;&gt;Pendiente",'Casos_Prueba'!J$6:J$205,"&lt;&gt;")</x:f>
        <x:v>0</x:v>
      </x:c>
      <x:c r="N73" s="96"/>
    </x:row>
    <x:row r="74" ht="15" hidden="0" customHeight="1">
      <x:c r="A74" s="92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103" t="n">
        <x:f>COUNTIF('Casos_Prueba'!B$6:B$205,A74)</x:f>
        <x:v>0</x:v>
      </x:c>
      <x:c r="M74" s="103" t="n">
        <x:f>COUNTIFS('Casos_Prueba'!B$6:B$205,A74,'Casos_Prueba'!J$6:J$205,"&lt;&gt;Pendiente",'Casos_Prueba'!J$6:J$205,"&lt;&gt;")</x:f>
        <x:v>0</x:v>
      </x:c>
      <x:c r="N74" s="96"/>
    </x:row>
    <x:row r="75" ht="15" hidden="0" customHeight="1">
      <x:c r="A75" s="92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103" t="n">
        <x:f>COUNTIF('Casos_Prueba'!B$6:B$205,A75)</x:f>
        <x:v>0</x:v>
      </x:c>
      <x:c r="M75" s="103" t="n">
        <x:f>COUNTIFS('Casos_Prueba'!B$6:B$205,A75,'Casos_Prueba'!J$6:J$205,"&lt;&gt;Pendiente",'Casos_Prueba'!J$6:J$205,"&lt;&gt;")</x:f>
        <x:v>0</x:v>
      </x:c>
      <x:c r="N75" s="96"/>
    </x:row>
    <x:row r="76" ht="15" hidden="0" customHeight="1">
      <x:c r="A76" s="92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103" t="n">
        <x:f>COUNTIF('Casos_Prueba'!B$6:B$205,A76)</x:f>
        <x:v>0</x:v>
      </x:c>
      <x:c r="M76" s="103" t="n">
        <x:f>COUNTIFS('Casos_Prueba'!B$6:B$205,A76,'Casos_Prueba'!J$6:J$205,"&lt;&gt;Pendiente",'Casos_Prueba'!J$6:J$205,"&lt;&gt;")</x:f>
        <x:v>0</x:v>
      </x:c>
      <x:c r="N76" s="96"/>
    </x:row>
    <x:row r="77" ht="15" hidden="0" customHeight="1">
      <x:c r="A77" s="92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103" t="n">
        <x:f>COUNTIF('Casos_Prueba'!B$6:B$205,A77)</x:f>
        <x:v>0</x:v>
      </x:c>
      <x:c r="M77" s="103" t="n">
        <x:f>COUNTIFS('Casos_Prueba'!B$6:B$205,A77,'Casos_Prueba'!J$6:J$205,"&lt;&gt;Pendiente",'Casos_Prueba'!J$6:J$205,"&lt;&gt;")</x:f>
        <x:v>0</x:v>
      </x:c>
      <x:c r="N77" s="96"/>
    </x:row>
    <x:row r="78" ht="15" hidden="0" customHeight="1">
      <x:c r="A78" s="92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103" t="n">
        <x:f>COUNTIF('Casos_Prueba'!B$6:B$205,A78)</x:f>
        <x:v>0</x:v>
      </x:c>
      <x:c r="M78" s="103" t="n">
        <x:f>COUNTIFS('Casos_Prueba'!B$6:B$205,A78,'Casos_Prueba'!J$6:J$205,"&lt;&gt;Pendiente",'Casos_Prueba'!J$6:J$205,"&lt;&gt;")</x:f>
        <x:v>0</x:v>
      </x:c>
      <x:c r="N78" s="96"/>
    </x:row>
    <x:row r="79" ht="15" hidden="0" customHeight="1">
      <x:c r="A79" s="92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103" t="n">
        <x:f>COUNTIF('Casos_Prueba'!B$6:B$205,A79)</x:f>
        <x:v>0</x:v>
      </x:c>
      <x:c r="M79" s="103" t="n">
        <x:f>COUNTIFS('Casos_Prueba'!B$6:B$205,A79,'Casos_Prueba'!J$6:J$205,"&lt;&gt;Pendiente",'Casos_Prueba'!J$6:J$205,"&lt;&gt;")</x:f>
        <x:v>0</x:v>
      </x:c>
      <x:c r="N79" s="96"/>
    </x:row>
    <x:row r="80" ht="15" hidden="0" customHeight="1">
      <x:c r="A80" s="92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103" t="n">
        <x:f>COUNTIF('Casos_Prueba'!B$6:B$205,A80)</x:f>
        <x:v>0</x:v>
      </x:c>
      <x:c r="M80" s="103" t="n">
        <x:f>COUNTIFS('Casos_Prueba'!B$6:B$205,A80,'Casos_Prueba'!J$6:J$205,"&lt;&gt;Pendiente",'Casos_Prueba'!J$6:J$205,"&lt;&gt;")</x:f>
        <x:v>0</x:v>
      </x:c>
      <x:c r="N80" s="96"/>
    </x:row>
    <x:row r="81" ht="15" hidden="0" customHeight="1">
      <x:c r="A81" s="92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103" t="n">
        <x:f>COUNTIF('Casos_Prueba'!B$6:B$205,A81)</x:f>
        <x:v>0</x:v>
      </x:c>
      <x:c r="M81" s="103" t="n">
        <x:f>COUNTIFS('Casos_Prueba'!B$6:B$205,A81,'Casos_Prueba'!J$6:J$205,"&lt;&gt;Pendiente",'Casos_Prueba'!J$6:J$205,"&lt;&gt;")</x:f>
        <x:v>0</x:v>
      </x:c>
      <x:c r="N81" s="96"/>
    </x:row>
    <x:row r="82" ht="15" hidden="0" customHeight="1">
      <x:c r="A82" s="92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103" t="n">
        <x:f>COUNTIF('Casos_Prueba'!B$6:B$205,A82)</x:f>
        <x:v>0</x:v>
      </x:c>
      <x:c r="M82" s="103" t="n">
        <x:f>COUNTIFS('Casos_Prueba'!B$6:B$205,A82,'Casos_Prueba'!J$6:J$205,"&lt;&gt;Pendiente",'Casos_Prueba'!J$6:J$205,"&lt;&gt;")</x:f>
        <x:v>0</x:v>
      </x:c>
      <x:c r="N82" s="96"/>
    </x:row>
    <x:row r="83" ht="15" hidden="0" customHeight="1">
      <x:c r="A83" s="92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103" t="n">
        <x:f>COUNTIF('Casos_Prueba'!B$6:B$205,A83)</x:f>
        <x:v>0</x:v>
      </x:c>
      <x:c r="M83" s="103" t="n">
        <x:f>COUNTIFS('Casos_Prueba'!B$6:B$205,A83,'Casos_Prueba'!J$6:J$205,"&lt;&gt;Pendiente",'Casos_Prueba'!J$6:J$205,"&lt;&gt;")</x:f>
        <x:v>0</x:v>
      </x:c>
      <x:c r="N83" s="96"/>
    </x:row>
    <x:row r="84" ht="15" hidden="0" customHeight="1">
      <x:c r="A84" s="92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103" t="n">
        <x:f>COUNTIF('Casos_Prueba'!B$6:B$205,A84)</x:f>
        <x:v>0</x:v>
      </x:c>
      <x:c r="M84" s="103" t="n">
        <x:f>COUNTIFS('Casos_Prueba'!B$6:B$205,A84,'Casos_Prueba'!J$6:J$205,"&lt;&gt;Pendiente",'Casos_Prueba'!J$6:J$205,"&lt;&gt;")</x:f>
        <x:v>0</x:v>
      </x:c>
      <x:c r="N84" s="96"/>
    </x:row>
    <x:row r="85" ht="15" hidden="0" customHeight="1">
      <x:c r="A85" s="92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103" t="n">
        <x:f>COUNTIF('Casos_Prueba'!B$6:B$205,A85)</x:f>
        <x:v>0</x:v>
      </x:c>
      <x:c r="M85" s="103" t="n">
        <x:f>COUNTIFS('Casos_Prueba'!B$6:B$205,A85,'Casos_Prueba'!J$6:J$205,"&lt;&gt;Pendiente",'Casos_Prueba'!J$6:J$205,"&lt;&gt;")</x:f>
        <x:v>0</x:v>
      </x:c>
      <x:c r="N85" s="96"/>
    </x:row>
    <x:row r="86" ht="15" hidden="0" customHeight="1">
      <x:c r="A86" s="92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103" t="n">
        <x:f>COUNTIF('Casos_Prueba'!B$6:B$205,A86)</x:f>
        <x:v>0</x:v>
      </x:c>
      <x:c r="M86" s="103" t="n">
        <x:f>COUNTIFS('Casos_Prueba'!B$6:B$205,A86,'Casos_Prueba'!J$6:J$205,"&lt;&gt;Pendiente",'Casos_Prueba'!J$6:J$205,"&lt;&gt;")</x:f>
        <x:v>0</x:v>
      </x:c>
      <x:c r="N86" s="96"/>
    </x:row>
    <x:row r="87" ht="15" hidden="0" customHeight="1">
      <x:c r="A87" s="92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103" t="n">
        <x:f>COUNTIF('Casos_Prueba'!B$6:B$205,A87)</x:f>
        <x:v>0</x:v>
      </x:c>
      <x:c r="M87" s="103" t="n">
        <x:f>COUNTIFS('Casos_Prueba'!B$6:B$205,A87,'Casos_Prueba'!J$6:J$205,"&lt;&gt;Pendiente",'Casos_Prueba'!J$6:J$205,"&lt;&gt;")</x:f>
        <x:v>0</x:v>
      </x:c>
      <x:c r="N87" s="96"/>
    </x:row>
    <x:row r="88" ht="15" hidden="0" customHeight="1">
      <x:c r="A88" s="92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103" t="n">
        <x:f>COUNTIF('Casos_Prueba'!B$6:B$205,A88)</x:f>
        <x:v>0</x:v>
      </x:c>
      <x:c r="M88" s="103" t="n">
        <x:f>COUNTIFS('Casos_Prueba'!B$6:B$205,A88,'Casos_Prueba'!J$6:J$205,"&lt;&gt;Pendiente",'Casos_Prueba'!J$6:J$205,"&lt;&gt;")</x:f>
        <x:v>0</x:v>
      </x:c>
      <x:c r="N88" s="96"/>
    </x:row>
    <x:row r="89" ht="15" hidden="0" customHeight="1">
      <x:c r="A89" s="92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103" t="n">
        <x:f>COUNTIF('Casos_Prueba'!B$6:B$205,A89)</x:f>
        <x:v>0</x:v>
      </x:c>
      <x:c r="M89" s="103" t="n">
        <x:f>COUNTIFS('Casos_Prueba'!B$6:B$205,A89,'Casos_Prueba'!J$6:J$205,"&lt;&gt;Pendiente",'Casos_Prueba'!J$6:J$205,"&lt;&gt;")</x:f>
        <x:v>0</x:v>
      </x:c>
      <x:c r="N89" s="96"/>
    </x:row>
    <x:row r="90" ht="15" hidden="0" customHeight="1">
      <x:c r="A90" s="92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103" t="n">
        <x:f>COUNTIF('Casos_Prueba'!B$6:B$205,A90)</x:f>
        <x:v>0</x:v>
      </x:c>
      <x:c r="M90" s="103" t="n">
        <x:f>COUNTIFS('Casos_Prueba'!B$6:B$205,A90,'Casos_Prueba'!J$6:J$205,"&lt;&gt;Pendiente",'Casos_Prueba'!J$6:J$205,"&lt;&gt;")</x:f>
        <x:v>0</x:v>
      </x:c>
      <x:c r="N90" s="96"/>
    </x:row>
    <x:row r="91" ht="15" hidden="0" customHeight="1">
      <x:c r="A91" s="92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103" t="n">
        <x:f>COUNTIF('Casos_Prueba'!B$6:B$205,A91)</x:f>
        <x:v>0</x:v>
      </x:c>
      <x:c r="M91" s="103" t="n">
        <x:f>COUNTIFS('Casos_Prueba'!B$6:B$205,A91,'Casos_Prueba'!J$6:J$205,"&lt;&gt;Pendiente",'Casos_Prueba'!J$6:J$205,"&lt;&gt;")</x:f>
        <x:v>0</x:v>
      </x:c>
      <x:c r="N91" s="96"/>
    </x:row>
    <x:row r="92" ht="15" hidden="0" customHeight="1">
      <x:c r="A92" s="92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103" t="n">
        <x:f>COUNTIF('Casos_Prueba'!B$6:B$205,A92)</x:f>
        <x:v>0</x:v>
      </x:c>
      <x:c r="M92" s="103" t="n">
        <x:f>COUNTIFS('Casos_Prueba'!B$6:B$205,A92,'Casos_Prueba'!J$6:J$205,"&lt;&gt;Pendiente",'Casos_Prueba'!J$6:J$205,"&lt;&gt;")</x:f>
        <x:v>0</x:v>
      </x:c>
      <x:c r="N92" s="96"/>
    </x:row>
    <x:row r="93" ht="15" hidden="0" customHeight="1">
      <x:c r="A93" s="92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103" t="n">
        <x:f>COUNTIF('Casos_Prueba'!B$6:B$205,A93)</x:f>
        <x:v>0</x:v>
      </x:c>
      <x:c r="M93" s="103" t="n">
        <x:f>COUNTIFS('Casos_Prueba'!B$6:B$205,A93,'Casos_Prueba'!J$6:J$205,"&lt;&gt;Pendiente",'Casos_Prueba'!J$6:J$205,"&lt;&gt;")</x:f>
        <x:v>0</x:v>
      </x:c>
      <x:c r="N93" s="96"/>
    </x:row>
    <x:row r="94" ht="15" hidden="0" customHeight="1">
      <x:c r="A94" s="92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103" t="n">
        <x:f>COUNTIF('Casos_Prueba'!B$6:B$205,A94)</x:f>
        <x:v>0</x:v>
      </x:c>
      <x:c r="M94" s="103" t="n">
        <x:f>COUNTIFS('Casos_Prueba'!B$6:B$205,A94,'Casos_Prueba'!J$6:J$205,"&lt;&gt;Pendiente",'Casos_Prueba'!J$6:J$205,"&lt;&gt;")</x:f>
        <x:v>0</x:v>
      </x:c>
      <x:c r="N94" s="96"/>
    </x:row>
    <x:row r="95" ht="15" hidden="0" customHeight="1">
      <x:c r="A95" s="92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103" t="n">
        <x:f>COUNTIF('Casos_Prueba'!B$6:B$205,A95)</x:f>
        <x:v>0</x:v>
      </x:c>
      <x:c r="M95" s="103" t="n">
        <x:f>COUNTIFS('Casos_Prueba'!B$6:B$205,A95,'Casos_Prueba'!J$6:J$205,"&lt;&gt;Pendiente",'Casos_Prueba'!J$6:J$205,"&lt;&gt;")</x:f>
        <x:v>0</x:v>
      </x:c>
      <x:c r="N95" s="96"/>
    </x:row>
    <x:row r="96" ht="15" hidden="0" customHeight="1">
      <x:c r="A96" s="92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103" t="n">
        <x:f>COUNTIF('Casos_Prueba'!B$6:B$205,A96)</x:f>
        <x:v>0</x:v>
      </x:c>
      <x:c r="M96" s="103" t="n">
        <x:f>COUNTIFS('Casos_Prueba'!B$6:B$205,A96,'Casos_Prueba'!J$6:J$205,"&lt;&gt;Pendiente",'Casos_Prueba'!J$6:J$205,"&lt;&gt;")</x:f>
        <x:v>0</x:v>
      </x:c>
      <x:c r="N96" s="96"/>
    </x:row>
    <x:row r="97" ht="15" hidden="0" customHeight="1">
      <x:c r="A97" s="92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103" t="n">
        <x:f>COUNTIF('Casos_Prueba'!B$6:B$205,A97)</x:f>
        <x:v>0</x:v>
      </x:c>
      <x:c r="M97" s="103" t="n">
        <x:f>COUNTIFS('Casos_Prueba'!B$6:B$205,A97,'Casos_Prueba'!J$6:J$205,"&lt;&gt;Pendiente",'Casos_Prueba'!J$6:J$205,"&lt;&gt;")</x:f>
        <x:v>0</x:v>
      </x:c>
      <x:c r="N97" s="96"/>
    </x:row>
    <x:row r="98" ht="15" hidden="0" customHeight="1">
      <x:c r="A98" s="92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103" t="n">
        <x:f>COUNTIF('Casos_Prueba'!B$6:B$205,A98)</x:f>
        <x:v>0</x:v>
      </x:c>
      <x:c r="M98" s="103" t="n">
        <x:f>COUNTIFS('Casos_Prueba'!B$6:B$205,A98,'Casos_Prueba'!J$6:J$205,"&lt;&gt;Pendiente",'Casos_Prueba'!J$6:J$205,"&lt;&gt;")</x:f>
        <x:v>0</x:v>
      </x:c>
      <x:c r="N98" s="96"/>
    </x:row>
    <x:row r="99" ht="15" hidden="0" customHeight="1">
      <x:c r="A99" s="92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103" t="n">
        <x:f>COUNTIF('Casos_Prueba'!B$6:B$205,A99)</x:f>
        <x:v>0</x:v>
      </x:c>
      <x:c r="M99" s="103" t="n">
        <x:f>COUNTIFS('Casos_Prueba'!B$6:B$205,A99,'Casos_Prueba'!J$6:J$205,"&lt;&gt;Pendiente",'Casos_Prueba'!J$6:J$205,"&lt;&gt;")</x:f>
        <x:v>0</x:v>
      </x:c>
      <x:c r="N99" s="96"/>
    </x:row>
    <x:row r="100" ht="15" hidden="0" customHeight="1">
      <x:c r="A100" s="92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103" t="n">
        <x:f>COUNTIF('Casos_Prueba'!B$6:B$205,A100)</x:f>
        <x:v>0</x:v>
      </x:c>
      <x:c r="M100" s="103" t="n">
        <x:f>COUNTIFS('Casos_Prueba'!B$6:B$205,A100,'Casos_Prueba'!J$6:J$205,"&lt;&gt;Pendiente",'Casos_Prueba'!J$6:J$205,"&lt;&gt;")</x:f>
        <x:v>0</x:v>
      </x:c>
      <x:c r="N100" s="96"/>
    </x:row>
    <x:row r="101" ht="15" hidden="0" customHeight="1">
      <x:c r="A101" s="92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103" t="n">
        <x:f>COUNTIF('Casos_Prueba'!B$6:B$205,A101)</x:f>
        <x:v>0</x:v>
      </x:c>
      <x:c r="M101" s="103" t="n">
        <x:f>COUNTIFS('Casos_Prueba'!B$6:B$205,A101,'Casos_Prueba'!J$6:J$205,"&lt;&gt;Pendiente",'Casos_Prueba'!J$6:J$205,"&lt;&gt;")</x:f>
        <x:v>0</x:v>
      </x:c>
      <x:c r="N101" s="96"/>
    </x:row>
    <x:row r="102" ht="15" hidden="0" customHeight="1">
      <x:c r="A102" s="92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103" t="n">
        <x:f>COUNTIF('Casos_Prueba'!B$6:B$205,A102)</x:f>
        <x:v>0</x:v>
      </x:c>
      <x:c r="M102" s="103" t="n">
        <x:f>COUNTIFS('Casos_Prueba'!B$6:B$205,A102,'Casos_Prueba'!J$6:J$205,"&lt;&gt;Pendiente",'Casos_Prueba'!J$6:J$205,"&lt;&gt;")</x:f>
        <x:v>0</x:v>
      </x:c>
      <x:c r="N102" s="96"/>
    </x:row>
    <x:row r="103" ht="15" hidden="0" customHeight="1">
      <x:c r="A103" s="92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103" t="n">
        <x:f>COUNTIF('Casos_Prueba'!B$6:B$205,A103)</x:f>
        <x:v>0</x:v>
      </x:c>
      <x:c r="M103" s="103" t="n">
        <x:f>COUNTIFS('Casos_Prueba'!B$6:B$205,A103,'Casos_Prueba'!J$6:J$205,"&lt;&gt;Pendiente",'Casos_Prueba'!J$6:J$205,"&lt;&gt;")</x:f>
        <x:v>0</x:v>
      </x:c>
      <x:c r="N103" s="96"/>
    </x:row>
    <x:row r="104" ht="15" hidden="0" customHeight="1">
      <x:c r="A104" s="92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103" t="n">
        <x:f>COUNTIF('Casos_Prueba'!B$6:B$205,A104)</x:f>
        <x:v>0</x:v>
      </x:c>
      <x:c r="M104" s="103" t="n">
        <x:f>COUNTIFS('Casos_Prueba'!B$6:B$205,A104,'Casos_Prueba'!J$6:J$205,"&lt;&gt;Pendiente",'Casos_Prueba'!J$6:J$205,"&lt;&gt;")</x:f>
        <x:v>0</x:v>
      </x:c>
      <x:c r="N104" s="96"/>
    </x:row>
    <x:row r="105" ht="15" hidden="0" customHeight="1">
      <x:c r="A105" s="97"/>
      <x:c r="B105" s="100"/>
      <x:c r="C105" s="100"/>
      <x:c r="D105" s="100"/>
      <x:c r="E105" s="100"/>
      <x:c r="F105" s="100"/>
      <x:c r="G105" s="100"/>
      <x:c r="H105" s="100"/>
      <x:c r="I105" s="100"/>
      <x:c r="J105" s="100"/>
      <x:c r="K105" s="100"/>
      <x:c r="L105" s="104" t="n">
        <x:f>COUNTIF('Casos_Prueba'!B$6:B$205,A105)</x:f>
        <x:v>0</x:v>
      </x:c>
      <x:c r="M105" s="104" t="n">
        <x:f>COUNTIFS('Casos_Prueba'!B$6:B$205,A105,'Casos_Prueba'!J$6:J$205,"&lt;&gt;Pendiente",'Casos_Prueba'!J$6:J$205,"&lt;&gt;")</x:f>
        <x:v>0</x:v>
      </x:c>
      <x:c r="N105" s="101"/>
    </x:row>
  </x:sheetData>
  <x:mergeCells>
    <x:mergeCell ref="A1:N1"/>
    <x:mergeCell ref="A3:N3"/>
  </x:mergeCells>
  <x:conditionalFormatting sqref="K6:K105">
    <x:cfRule type="containsText" dxfId="0" priority="1" operator="containsText" text="Pasó"/>
    <x:cfRule type="containsText" dxfId="1" priority="2" operator="containsText" text="Aprobada"/>
    <x:cfRule type="containsText" dxfId="2" priority="3" operator="containsText" text="Falló"/>
    <x:cfRule type="containsText" dxfId="3" priority="4" operator="containsText" text="Bloqueado"/>
    <x:cfRule type="containsText" dxfId="4" priority="5" operator="containsText" text="Requiere aclaración"/>
  </x:conditionalFormatting>
  <x:dataValidations count="4">
    <x:dataValidation type="list" sqref="H6:H105">
      <x:formula1>"Alta,Media,Baja"</x:formula1>
    </x:dataValidation>
    <x:dataValidation type="list" sqref="I6:I105">
      <x:formula1>"Alto,Medio,Bajo"</x:formula1>
    </x:dataValidation>
    <x:dataValidation type="list" sqref="J6:J105">
      <x:formula1>"Pendiente dev,En desarrollo,Listo para QA,Cerrado"</x:formula1>
    </x:dataValidation>
    <x:dataValidation type="list" sqref="K6:K105">
      <x:formula1>"Pendiente,En revisión,Aprobada,Falló,Bloqueado,Requiere aclaración"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dd15000f1b41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25" hidden="0" customWidth="1"/>
    <x:col min="3" max="3" width="53.75" hidden="0" customWidth="1"/>
    <x:col min="4" max="4" width="16.25" hidden="0" customWidth="1"/>
    <x:col min="5" max="5" width="16.25" hidden="0" customWidth="1"/>
    <x:col min="6" max="6" width="32.5" hidden="0" customWidth="1"/>
    <x:col min="7" max="7" width="32.5" hidden="0" customWidth="1"/>
  </x:cols>
  <x:sheetData>
    <x:row r="1" ht="19.200000762939453" hidden="0" customHeight="1">
      <x:c r="A1" s="81" t="str">
        <x:v>Criterios de Aceptación - Sprint 2</x:v>
      </x:c>
      <x:c r="B1" s="81"/>
      <x:c r="C1" s="81"/>
      <x:c r="D1" s="81"/>
      <x:c r="E1" s="81"/>
      <x:c r="F1" s="81"/>
      <x:c r="G1" s="81"/>
    </x:row>
    <x:row r="2" ht="15" hidden="0" customHeight="1">
      <x:c r="A2" s="82"/>
      <x:c r="B2" s="82"/>
      <x:c r="C2" s="82"/>
      <x:c r="D2" s="82"/>
      <x:c r="E2" s="82"/>
      <x:c r="F2" s="82"/>
      <x:c r="G2" s="82"/>
    </x:row>
    <x:row r="3" ht="15" hidden="0" customHeight="1">
      <x:c r="A3" s="83" t="str">
        <x:v>Marca cada criterio como Cumple, No cumple, Bloqueado o Requiere aclaración según lo observado en el sistema.</x:v>
      </x:c>
      <x:c r="B3" s="82"/>
      <x:c r="C3" s="82"/>
      <x:c r="D3" s="82"/>
      <x:c r="E3" s="82"/>
      <x:c r="F3" s="82"/>
      <x:c r="G3" s="82"/>
    </x:row>
    <x:row r="4" ht="15" hidden="0" customHeight="1">
      <x:c r="A4" s="82"/>
      <x:c r="B4" s="82"/>
      <x:c r="C4" s="82"/>
      <x:c r="D4" s="82"/>
      <x:c r="E4" s="82"/>
      <x:c r="F4" s="82"/>
      <x:c r="G4" s="82"/>
    </x:row>
    <x:row r="5" ht="15" hidden="0" customHeight="1">
      <x:c r="A5" s="84" t="str">
        <x:v>ID Criterio</x:v>
      </x:c>
      <x:c r="B5" s="86" t="str">
        <x:v>ID Historia</x:v>
      </x:c>
      <x:c r="C5" s="86" t="str">
        <x:v>Criterio de aceptación</x:v>
      </x:c>
      <x:c r="D5" s="86" t="str">
        <x:v>Tipo</x:v>
      </x:c>
      <x:c r="E5" s="86" t="str">
        <x:v>Estado</x:v>
      </x:c>
      <x:c r="F5" s="86" t="str">
        <x:v>Notas / Dudas</x:v>
      </x:c>
      <x:c r="G5" s="85" t="str">
        <x:v>Evidencia</x:v>
      </x:c>
    </x:row>
    <x:row r="6" ht="15" hidden="0" customHeight="1">
      <x:c r="A6" s="87" t="str">
        <x:v>CA-001</x:v>
      </x:c>
      <x:c r="B6" s="90" t="str">
        <x:v>GH-034</x:v>
      </x:c>
      <x:c r="C6" s="90" t="str">
        <x:v>La pantalla de convocatorias ya no depende de ningún dato hardcodeado.</x:v>
      </x:c>
      <x:c r="D6" s="90" t="str">
        <x:v>Funcional</x:v>
      </x:c>
      <x:c r="E6" s="90" t="str">
        <x:v>Pendiente</x:v>
      </x:c>
      <x:c r="F6" s="90" t="str">
        <x:v>Explícito en captura.</x:v>
      </x:c>
      <x:c r="G6" s="91" t="str"/>
    </x:row>
    <x:row r="7" ht="24" hidden="0" customHeight="1">
      <x:c r="A7" s="92" t="str">
        <x:v>CA-002</x:v>
      </x:c>
      <x:c r="B7" s="95" t="str">
        <x:v>GH-034</x:v>
      </x:c>
      <x:c r="C7" s="95" t="str">
        <x:v>Al cargar la pantalla, se muestra la convocatoria activa real si existe y el historial real desde backend.</x:v>
      </x:c>
      <x:c r="D7" s="95" t="str">
        <x:v>Datos</x:v>
      </x:c>
      <x:c r="E7" s="95" t="str">
        <x:v>Pendiente</x:v>
      </x:c>
      <x:c r="F7" s="95" t="str">
        <x:v>Explícito en captura.</x:v>
      </x:c>
      <x:c r="G7" s="96" t="str"/>
    </x:row>
    <x:row r="8" ht="15" hidden="0" customHeight="1">
      <x:c r="A8" s="92" t="str">
        <x:v>CA-003</x:v>
      </x:c>
      <x:c r="B8" s="95" t="str">
        <x:v>GH-034</x:v>
      </x:c>
      <x:c r="C8" s="95" t="str">
        <x:v>Se muestra un estado de carga mientras se espera la respuesta del servidor.</x:v>
      </x:c>
      <x:c r="D8" s="95" t="str">
        <x:v>Interfaz</x:v>
      </x:c>
      <x:c r="E8" s="95" t="str">
        <x:v>Pendiente</x:v>
      </x:c>
      <x:c r="F8" s="95" t="str">
        <x:v>Explícito en captura.</x:v>
      </x:c>
      <x:c r="G8" s="96" t="str"/>
    </x:row>
    <x:row r="9" ht="24" hidden="0" customHeight="1">
      <x:c r="A9" s="92" t="str">
        <x:v>CA-004</x:v>
      </x:c>
      <x:c r="B9" s="95" t="str">
        <x:v>GH-034</x:v>
      </x:c>
      <x:c r="C9" s="95" t="str">
        <x:v>Si el backend falla o no hay convocatorias, la UI no se rompe y muestra feedback apropiado.</x:v>
      </x:c>
      <x:c r="D9" s="95" t="str">
        <x:v>Negativo</x:v>
      </x:c>
      <x:c r="E9" s="95" t="str">
        <x:v>Pendiente</x:v>
      </x:c>
      <x:c r="F9" s="95" t="str">
        <x:v>Explícito en captura.</x:v>
      </x:c>
      <x:c r="G9" s="96" t="str"/>
    </x:row>
    <x:row r="10" ht="24" hidden="0" customHeight="1">
      <x:c r="A10" s="92" t="str">
        <x:v>CA-005</x:v>
      </x:c>
      <x:c r="B10" s="95" t="str">
        <x:v>GH-034</x:v>
      </x:c>
      <x:c r="C10" s="95" t="str">
        <x:v>ActiveCallCard y Table funcionan con datos reales, incluyendo campos opcionales como miembrosNuevos.</x:v>
      </x:c>
      <x:c r="D10" s="95" t="str">
        <x:v>Datos</x:v>
      </x:c>
      <x:c r="E10" s="95" t="str">
        <x:v>Pendiente</x:v>
      </x:c>
      <x:c r="F10" s="95" t="str">
        <x:v>Explícito en tareas.</x:v>
      </x:c>
      <x:c r="G10" s="96" t="str"/>
    </x:row>
    <x:row r="11" ht="15" hidden="0" customHeight="1">
      <x:c r="A11" s="92" t="str">
        <x:v>CA-006</x:v>
      </x:c>
      <x:c r="B11" s="95" t="str">
        <x:v>GH-006</x:v>
      </x:c>
      <x:c r="C11" s="95" t="str">
        <x:v>El listado muestra nombre de la convocatoria.</x:v>
      </x:c>
      <x:c r="D11" s="95" t="str">
        <x:v>Datos</x:v>
      </x:c>
      <x:c r="E11" s="95" t="str">
        <x:v>Pendiente</x:v>
      </x:c>
      <x:c r="F11" s="95" t="str">
        <x:v>Explícito en captura.</x:v>
      </x:c>
      <x:c r="G11" s="96" t="str"/>
    </x:row>
    <x:row r="12" ht="15" hidden="0" customHeight="1">
      <x:c r="A12" s="92" t="str">
        <x:v>CA-007</x:v>
      </x:c>
      <x:c r="B12" s="95" t="str">
        <x:v>GH-006</x:v>
      </x:c>
      <x:c r="C12" s="95" t="str">
        <x:v>El listado muestra gestión.</x:v>
      </x:c>
      <x:c r="D12" s="95" t="str">
        <x:v>Datos</x:v>
      </x:c>
      <x:c r="E12" s="95" t="str">
        <x:v>Pendiente</x:v>
      </x:c>
      <x:c r="F12" s="95" t="str">
        <x:v>Explícito en captura.</x:v>
      </x:c>
      <x:c r="G12" s="96" t="str"/>
    </x:row>
    <x:row r="13" ht="15" hidden="0" customHeight="1">
      <x:c r="A13" s="92" t="str">
        <x:v>CA-008</x:v>
      </x:c>
      <x:c r="B13" s="95" t="str">
        <x:v>GH-006</x:v>
      </x:c>
      <x:c r="C13" s="95" t="str">
        <x:v>El listado muestra fecha de inicio.</x:v>
      </x:c>
      <x:c r="D13" s="95" t="str">
        <x:v>Datos</x:v>
      </x:c>
      <x:c r="E13" s="95" t="str">
        <x:v>Pendiente</x:v>
      </x:c>
      <x:c r="F13" s="95" t="str">
        <x:v>Explícito en captura.</x:v>
      </x:c>
      <x:c r="G13" s="96" t="str"/>
    </x:row>
    <x:row r="14" ht="15" hidden="0" customHeight="1">
      <x:c r="A14" s="92" t="str">
        <x:v>CA-009</x:v>
      </x:c>
      <x:c r="B14" s="95" t="str">
        <x:v>GH-006</x:v>
      </x:c>
      <x:c r="C14" s="95" t="str">
        <x:v>El listado muestra fecha de finalización.</x:v>
      </x:c>
      <x:c r="D14" s="95" t="str">
        <x:v>Datos</x:v>
      </x:c>
      <x:c r="E14" s="95" t="str">
        <x:v>Pendiente</x:v>
      </x:c>
      <x:c r="F14" s="95" t="str">
        <x:v>Explícito en captura.</x:v>
      </x:c>
      <x:c r="G14" s="96" t="str"/>
    </x:row>
    <x:row r="15" ht="15" hidden="0" customHeight="1">
      <x:c r="A15" s="92" t="str">
        <x:v>CA-010</x:v>
      </x:c>
      <x:c r="B15" s="95" t="str">
        <x:v>GH-006</x:v>
      </x:c>
      <x:c r="C15" s="95" t="str">
        <x:v>El listado muestra estado Activa o Finalizada.</x:v>
      </x:c>
      <x:c r="D15" s="95" t="str">
        <x:v>Datos</x:v>
      </x:c>
      <x:c r="E15" s="95" t="str">
        <x:v>Pendiente</x:v>
      </x:c>
      <x:c r="F15" s="95" t="str">
        <x:v>Explícito en captura.</x:v>
      </x:c>
      <x:c r="G15" s="96" t="str"/>
    </x:row>
    <x:row r="16" ht="15" hidden="0" customHeight="1">
      <x:c r="A16" s="92" t="str">
        <x:v>CA-011</x:v>
      </x:c>
      <x:c r="B16" s="95" t="str">
        <x:v>GH-006</x:v>
      </x:c>
      <x:c r="C16" s="95" t="str">
        <x:v>El listado muestra acciones disponibles: Editar, Cerrar o Ver.</x:v>
      </x:c>
      <x:c r="D16" s="95" t="str">
        <x:v>Funcional</x:v>
      </x:c>
      <x:c r="E16" s="95" t="str">
        <x:v>Pendiente</x:v>
      </x:c>
      <x:c r="F16" s="95" t="str">
        <x:v>Explícito en captura.</x:v>
      </x:c>
      <x:c r="G16" s="96" t="str"/>
    </x:row>
    <x:row r="17" ht="15" hidden="0" customHeight="1">
      <x:c r="A17" s="92" t="str">
        <x:v>CA-012</x:v>
      </x:c>
      <x:c r="B17" s="95" t="str">
        <x:v>GH-006</x:v>
      </x:c>
      <x:c r="C17" s="95" t="str">
        <x:v>El sistema permite identificar fácilmente la convocatoria activa.</x:v>
      </x:c>
      <x:c r="D17" s="95" t="str">
        <x:v>Interfaz</x:v>
      </x:c>
      <x:c r="E17" s="95" t="str">
        <x:v>Pendiente</x:v>
      </x:c>
      <x:c r="F17" s="95" t="str">
        <x:v>Explícito en captura.</x:v>
      </x:c>
      <x:c r="G17" s="96" t="str"/>
    </x:row>
    <x:row r="18" ht="15" hidden="0" customHeight="1">
      <x:c r="A18" s="92" t="str">
        <x:v>CA-013</x:v>
      </x:c>
      <x:c r="B18" s="95" t="str">
        <x:v>GH-008</x:v>
      </x:c>
      <x:c r="C18" s="95" t="str">
        <x:v>El sistema permite cerrar únicamente convocatorias activas.</x:v>
      </x:c>
      <x:c r="D18" s="95" t="str">
        <x:v>Regla de negocio</x:v>
      </x:c>
      <x:c r="E18" s="95" t="str">
        <x:v>Pendiente</x:v>
      </x:c>
      <x:c r="F18" s="95" t="str">
        <x:v>Explícito en captura.</x:v>
      </x:c>
      <x:c r="G18" s="96" t="str"/>
    </x:row>
    <x:row r="19" ht="15" hidden="0" customHeight="1">
      <x:c r="A19" s="92" t="str">
        <x:v>CA-014</x:v>
      </x:c>
      <x:c r="B19" s="95" t="str">
        <x:v>GH-008</x:v>
      </x:c>
      <x:c r="C19" s="95" t="str">
        <x:v>Antes del cierre se solicita confirmación al usuario.</x:v>
      </x:c>
      <x:c r="D19" s="95" t="str">
        <x:v>Interfaz</x:v>
      </x:c>
      <x:c r="E19" s="95" t="str">
        <x:v>Pendiente</x:v>
      </x:c>
      <x:c r="F19" s="95" t="str">
        <x:v>Explícito en captura.</x:v>
      </x:c>
      <x:c r="G19" s="96" t="str"/>
    </x:row>
    <x:row r="20" ht="15" hidden="0" customHeight="1">
      <x:c r="A20" s="92" t="str">
        <x:v>CA-015</x:v>
      </x:c>
      <x:c r="B20" s="95" t="str">
        <x:v>GH-008</x:v>
      </x:c>
      <x:c r="C20" s="95" t="str">
        <x:v>Una vez cerrada, la convocatoria cambia su estado a Finalizada.</x:v>
      </x:c>
      <x:c r="D20" s="95" t="str">
        <x:v>Funcional</x:v>
      </x:c>
      <x:c r="E20" s="95" t="str">
        <x:v>Pendiente</x:v>
      </x:c>
      <x:c r="F20" s="95" t="str">
        <x:v>Explícito en captura.</x:v>
      </x:c>
      <x:c r="G20" s="96" t="str"/>
    </x:row>
    <x:row r="21" ht="15" hidden="0" customHeight="1">
      <x:c r="A21" s="92" t="str">
        <x:v>CA-016</x:v>
      </x:c>
      <x:c r="B21" s="95" t="str">
        <x:v>GH-008</x:v>
      </x:c>
      <x:c r="C21" s="95" t="str">
        <x:v>Una convocatoria finalizada ya no puede modificarse.</x:v>
      </x:c>
      <x:c r="D21" s="95" t="str">
        <x:v>Permisos</x:v>
      </x:c>
      <x:c r="E21" s="95" t="str">
        <x:v>Pendiente</x:v>
      </x:c>
      <x:c r="F21" s="95" t="str">
        <x:v>Explícito en captura.</x:v>
      </x:c>
      <x:c r="G21" s="96" t="str"/>
    </x:row>
    <x:row r="22" ht="15" hidden="0" customHeight="1">
      <x:c r="A22" s="92" t="str">
        <x:v>CA-017</x:v>
      </x:c>
      <x:c r="B22" s="95" t="str">
        <x:v>GH-008</x:v>
      </x:c>
      <x:c r="C22" s="95" t="str">
        <x:v>La lista de convocatorias refleja el nuevo estado de manera inmediata.</x:v>
      </x:c>
      <x:c r="D22" s="95" t="str">
        <x:v>Funcional</x:v>
      </x:c>
      <x:c r="E22" s="95" t="str">
        <x:v>Pendiente</x:v>
      </x:c>
      <x:c r="F22" s="95" t="str">
        <x:v>Explícito en captura.</x:v>
      </x:c>
      <x:c r="G22" s="96" t="str"/>
    </x:row>
    <x:row r="23" ht="24" hidden="0" customHeight="1">
      <x:c r="A23" s="92" t="str">
        <x:v>CA-018</x:v>
      </x:c>
      <x:c r="B23" s="95" t="str">
        <x:v>GH-041</x:v>
      </x:c>
      <x:c r="C23" s="95" t="str">
        <x:v>Al presionar Aceptar en el modal, se realiza una petición real al backend para cerrar la convocatoria.</x:v>
      </x:c>
      <x:c r="D23" s="95" t="str">
        <x:v>Funcional</x:v>
      </x:c>
      <x:c r="E23" s="95" t="str">
        <x:v>Pendiente</x:v>
      </x:c>
      <x:c r="F23" s="95" t="str">
        <x:v>Explícito en captura.</x:v>
      </x:c>
      <x:c r="G23" s="96" t="str"/>
    </x:row>
    <x:row r="24" ht="24" hidden="0" customHeight="1">
      <x:c r="A24" s="92" t="str">
        <x:v>CA-019</x:v>
      </x:c>
      <x:c r="B24" s="95" t="str">
        <x:v>GH-041</x:v>
      </x:c>
      <x:c r="C24" s="95" t="str">
        <x:v>Mientras se procesa la petición, el usuario recibe feedback visual y no puede disparar múltiples clics.</x:v>
      </x:c>
      <x:c r="D24" s="95" t="str">
        <x:v>Interfaz</x:v>
      </x:c>
      <x:c r="E24" s="95" t="str">
        <x:v>Pendiente</x:v>
      </x:c>
      <x:c r="F24" s="95" t="str">
        <x:v>Explícito en captura.</x:v>
      </x:c>
      <x:c r="G24" s="96" t="str"/>
    </x:row>
    <x:row r="25" ht="24" hidden="0" customHeight="1">
      <x:c r="A25" s="92" t="str">
        <x:v>CA-020</x:v>
      </x:c>
      <x:c r="B25" s="95" t="str">
        <x:v>GH-041</x:v>
      </x:c>
      <x:c r="C25" s="95" t="str">
        <x:v>Si la petición falla, el usuario ve un mensaje de error y el modal permanece abierto para reintentar o cancelar.</x:v>
      </x:c>
      <x:c r="D25" s="95" t="str">
        <x:v>Negativo</x:v>
      </x:c>
      <x:c r="E25" s="95" t="str">
        <x:v>Pendiente</x:v>
      </x:c>
      <x:c r="F25" s="95" t="str">
        <x:v>Explícito en captura.</x:v>
      </x:c>
      <x:c r="G25" s="96" t="str"/>
    </x:row>
    <x:row r="26" ht="24" hidden="0" customHeight="1">
      <x:c r="A26" s="92" t="str">
        <x:v>CA-021</x:v>
      </x:c>
      <x:c r="B26" s="95" t="str">
        <x:v>GH-041</x:v>
      </x:c>
      <x:c r="C26" s="95" t="str">
        <x:v>Si la petición es exitosa, el estado de la convocatoria se actualiza visualmente sin recargar toda la página y el modal se cierra.</x:v>
      </x:c>
      <x:c r="D26" s="95" t="str">
        <x:v>Funcional</x:v>
      </x:c>
      <x:c r="E26" s="95" t="str">
        <x:v>Pendiente</x:v>
      </x:c>
      <x:c r="F26" s="95" t="str">
        <x:v>Explícito en captura.</x:v>
      </x:c>
      <x:c r="G26" s="96" t="str"/>
    </x:row>
    <x:row r="27" ht="15" hidden="0" customHeight="1">
      <x:c r="A27" s="92" t="str">
        <x:v>CA-022</x:v>
      </x:c>
      <x:c r="B27" s="95" t="str">
        <x:v>GH-007</x:v>
      </x:c>
      <x:c r="C27" s="95" t="str">
        <x:v>El sistema permite editar una convocatoria existente.</x:v>
      </x:c>
      <x:c r="D27" s="95" t="str">
        <x:v>Funcional</x:v>
      </x:c>
      <x:c r="E27" s="95" t="str">
        <x:v>Pendiente</x:v>
      </x:c>
      <x:c r="F27" s="95" t="str">
        <x:v>Explícito en captura.</x:v>
      </x:c>
      <x:c r="G27" s="96" t="str"/>
    </x:row>
    <x:row r="28" ht="15" hidden="0" customHeight="1">
      <x:c r="A28" s="92" t="str">
        <x:v>CA-023</x:v>
      </x:c>
      <x:c r="B28" s="95" t="str">
        <x:v>GH-007</x:v>
      </x:c>
      <x:c r="C28" s="95" t="str">
        <x:v>Es posible modificar fecha cierre, descripción y fases.</x:v>
      </x:c>
      <x:c r="D28" s="95" t="str">
        <x:v>Funcional</x:v>
      </x:c>
      <x:c r="E28" s="95" t="str">
        <x:v>Pendiente</x:v>
      </x:c>
      <x:c r="F28" s="95" t="str">
        <x:v>Explícito en captura.</x:v>
      </x:c>
      <x:c r="G28" s="96" t="str"/>
    </x:row>
    <x:row r="29" ht="24" hidden="0" customHeight="1">
      <x:c r="A29" s="92" t="str">
        <x:v>CA-024</x:v>
      </x:c>
      <x:c r="B29" s="95" t="str">
        <x:v>GH-007</x:v>
      </x:c>
      <x:c r="C29" s="95" t="str">
        <x:v>El botón Guardar cambios permanece deshabilitado mientras no exista ninguna modificación.</x:v>
      </x:c>
      <x:c r="D29" s="95" t="str">
        <x:v>Interfaz</x:v>
      </x:c>
      <x:c r="E29" s="95" t="str">
        <x:v>Pendiente</x:v>
      </x:c>
      <x:c r="F29" s="95" t="str">
        <x:v>Explícito en captura.</x:v>
      </x:c>
      <x:c r="G29" s="96" t="str"/>
    </x:row>
    <x:row r="30" ht="24" hidden="0" customHeight="1">
      <x:c r="A30" s="92" t="str">
        <x:v>CA-025</x:v>
      </x:c>
      <x:c r="B30" s="95" t="str">
        <x:v>GH-007</x:v>
      </x:c>
      <x:c r="C30" s="95" t="str">
        <x:v>Después de guardar, la información actualizada se refleja inmediatamente en la lista de convocatorias.</x:v>
      </x:c>
      <x:c r="D30" s="95" t="str">
        <x:v>Funcional</x:v>
      </x:c>
      <x:c r="E30" s="95" t="str">
        <x:v>Pendiente</x:v>
      </x:c>
      <x:c r="F30" s="95" t="str">
        <x:v>Explícito en captura.</x:v>
      </x:c>
      <x:c r="G30" s="96" t="str"/>
    </x:row>
    <x:row r="31" ht="15" hidden="0" customHeight="1">
      <x:c r="A31" s="92" t="str">
        <x:v>CA-026</x:v>
      </x:c>
      <x:c r="B31" s="95" t="str">
        <x:v>GH-007</x:v>
      </x:c>
      <x:c r="C31" s="95" t="str">
        <x:v>El sistema muestra un mensaje indicando que la actualización fue exitosa.</x:v>
      </x:c>
      <x:c r="D31" s="95" t="str">
        <x:v>Interfaz</x:v>
      </x:c>
      <x:c r="E31" s="95" t="str">
        <x:v>Pendiente</x:v>
      </x:c>
      <x:c r="F31" s="95" t="str">
        <x:v>Explícito en captura.</x:v>
      </x:c>
      <x:c r="G31" s="96" t="str"/>
    </x:row>
    <x:row r="32" ht="15" hidden="0" customHeight="1">
      <x:c r="A32" s="92" t="str">
        <x:v>CA-027</x:v>
      </x:c>
      <x:c r="B32" s="95" t="str">
        <x:v>GH-009</x:v>
      </x:c>
      <x:c r="C32" s="95" t="str">
        <x:v>El sistema permite buscar por nombre o gestión.</x:v>
      </x:c>
      <x:c r="D32" s="95" t="str">
        <x:v>Funcional</x:v>
      </x:c>
      <x:c r="E32" s="95" t="str">
        <x:v>Pendiente</x:v>
      </x:c>
      <x:c r="F32" s="95" t="str">
        <x:v>Explícito en captura.</x:v>
      </x:c>
      <x:c r="G32" s="96" t="str"/>
    </x:row>
    <x:row r="33" ht="15" hidden="0" customHeight="1">
      <x:c r="A33" s="92" t="str">
        <x:v>CA-028</x:v>
      </x:c>
      <x:c r="B33" s="95" t="str">
        <x:v>GH-009</x:v>
      </x:c>
      <x:c r="C33" s="95" t="str">
        <x:v>Es posible filtrar por estado Activa, Finalizada y Todas.</x:v>
      </x:c>
      <x:c r="D33" s="95" t="str">
        <x:v>Funcional</x:v>
      </x:c>
      <x:c r="E33" s="95" t="str">
        <x:v>Pendiente</x:v>
      </x:c>
      <x:c r="F33" s="95" t="str">
        <x:v>Explícito en captura.</x:v>
      </x:c>
      <x:c r="G33" s="96" t="str"/>
    </x:row>
    <x:row r="34" ht="15" hidden="0" customHeight="1">
      <x:c r="A34" s="92" t="str">
        <x:v>CA-029</x:v>
      </x:c>
      <x:c r="B34" s="95" t="str">
        <x:v>GH-009</x:v>
      </x:c>
      <x:c r="C34" s="95" t="str">
        <x:v>La lista se actualiza automáticamente al aplicar un filtro.</x:v>
      </x:c>
      <x:c r="D34" s="95" t="str">
        <x:v>Funcional</x:v>
      </x:c>
      <x:c r="E34" s="95" t="str">
        <x:v>Pendiente</x:v>
      </x:c>
      <x:c r="F34" s="95" t="str">
        <x:v>Explícito en captura.</x:v>
      </x:c>
      <x:c r="G34" s="96" t="str"/>
    </x:row>
    <x:row r="35" ht="15" hidden="0" customHeight="1">
      <x:c r="A35" s="92"/>
      <x:c r="B35" s="95"/>
      <x:c r="C35" s="95"/>
      <x:c r="D35" s="95"/>
      <x:c r="E35" s="95"/>
      <x:c r="F35" s="95"/>
      <x:c r="G35" s="96"/>
    </x:row>
    <x:row r="36" ht="15" hidden="0" customHeight="1">
      <x:c r="A36" s="92"/>
      <x:c r="B36" s="95"/>
      <x:c r="C36" s="95"/>
      <x:c r="D36" s="95"/>
      <x:c r="E36" s="95"/>
      <x:c r="F36" s="95"/>
      <x:c r="G36" s="96"/>
    </x:row>
    <x:row r="37" ht="15" hidden="0" customHeight="1">
      <x:c r="A37" s="92"/>
      <x:c r="B37" s="95"/>
      <x:c r="C37" s="95"/>
      <x:c r="D37" s="95"/>
      <x:c r="E37" s="95"/>
      <x:c r="F37" s="95"/>
      <x:c r="G37" s="96"/>
    </x:row>
    <x:row r="38" ht="15" hidden="0" customHeight="1">
      <x:c r="A38" s="92"/>
      <x:c r="B38" s="95"/>
      <x:c r="C38" s="95"/>
      <x:c r="D38" s="95"/>
      <x:c r="E38" s="95"/>
      <x:c r="F38" s="95"/>
      <x:c r="G38" s="96"/>
    </x:row>
    <x:row r="39" ht="15" hidden="0" customHeight="1">
      <x:c r="A39" s="92"/>
      <x:c r="B39" s="95"/>
      <x:c r="C39" s="95"/>
      <x:c r="D39" s="95"/>
      <x:c r="E39" s="95"/>
      <x:c r="F39" s="95"/>
      <x:c r="G39" s="96"/>
    </x:row>
    <x:row r="40" ht="15" hidden="0" customHeight="1">
      <x:c r="A40" s="92"/>
      <x:c r="B40" s="95"/>
      <x:c r="C40" s="95"/>
      <x:c r="D40" s="95"/>
      <x:c r="E40" s="95"/>
      <x:c r="F40" s="95"/>
      <x:c r="G40" s="96"/>
    </x:row>
    <x:row r="41" ht="15" hidden="0" customHeight="1">
      <x:c r="A41" s="92"/>
      <x:c r="B41" s="95"/>
      <x:c r="C41" s="95"/>
      <x:c r="D41" s="95"/>
      <x:c r="E41" s="95"/>
      <x:c r="F41" s="95"/>
      <x:c r="G41" s="96"/>
    </x:row>
    <x:row r="42" ht="15" hidden="0" customHeight="1">
      <x:c r="A42" s="92"/>
      <x:c r="B42" s="95"/>
      <x:c r="C42" s="95"/>
      <x:c r="D42" s="95"/>
      <x:c r="E42" s="95"/>
      <x:c r="F42" s="95"/>
      <x:c r="G42" s="96"/>
    </x:row>
    <x:row r="43" ht="15" hidden="0" customHeight="1">
      <x:c r="A43" s="92"/>
      <x:c r="B43" s="95"/>
      <x:c r="C43" s="95"/>
      <x:c r="D43" s="95"/>
      <x:c r="E43" s="95"/>
      <x:c r="F43" s="95"/>
      <x:c r="G43" s="96"/>
    </x:row>
    <x:row r="44" ht="15" hidden="0" customHeight="1">
      <x:c r="A44" s="92"/>
      <x:c r="B44" s="95"/>
      <x:c r="C44" s="95"/>
      <x:c r="D44" s="95"/>
      <x:c r="E44" s="95"/>
      <x:c r="F44" s="95"/>
      <x:c r="G44" s="96"/>
    </x:row>
    <x:row r="45" ht="15" hidden="0" customHeight="1">
      <x:c r="A45" s="92"/>
      <x:c r="B45" s="95"/>
      <x:c r="C45" s="95"/>
      <x:c r="D45" s="95"/>
      <x:c r="E45" s="95"/>
      <x:c r="F45" s="95"/>
      <x:c r="G45" s="96"/>
    </x:row>
    <x:row r="46" ht="15" hidden="0" customHeight="1">
      <x:c r="A46" s="92"/>
      <x:c r="B46" s="95"/>
      <x:c r="C46" s="95"/>
      <x:c r="D46" s="95"/>
      <x:c r="E46" s="95"/>
      <x:c r="F46" s="95"/>
      <x:c r="G46" s="96"/>
    </x:row>
    <x:row r="47" ht="15" hidden="0" customHeight="1">
      <x:c r="A47" s="92"/>
      <x:c r="B47" s="95"/>
      <x:c r="C47" s="95"/>
      <x:c r="D47" s="95"/>
      <x:c r="E47" s="95"/>
      <x:c r="F47" s="95"/>
      <x:c r="G47" s="96"/>
    </x:row>
    <x:row r="48" ht="15" hidden="0" customHeight="1">
      <x:c r="A48" s="92"/>
      <x:c r="B48" s="95"/>
      <x:c r="C48" s="95"/>
      <x:c r="D48" s="95"/>
      <x:c r="E48" s="95"/>
      <x:c r="F48" s="95"/>
      <x:c r="G48" s="96"/>
    </x:row>
    <x:row r="49" ht="15" hidden="0" customHeight="1">
      <x:c r="A49" s="92"/>
      <x:c r="B49" s="95"/>
      <x:c r="C49" s="95"/>
      <x:c r="D49" s="95"/>
      <x:c r="E49" s="95"/>
      <x:c r="F49" s="95"/>
      <x:c r="G49" s="96"/>
    </x:row>
    <x:row r="50" ht="15" hidden="0" customHeight="1">
      <x:c r="A50" s="92"/>
      <x:c r="B50" s="95"/>
      <x:c r="C50" s="95"/>
      <x:c r="D50" s="95"/>
      <x:c r="E50" s="95"/>
      <x:c r="F50" s="95"/>
      <x:c r="G50" s="96"/>
    </x:row>
    <x:row r="51" ht="15" hidden="0" customHeight="1">
      <x:c r="A51" s="92"/>
      <x:c r="B51" s="95"/>
      <x:c r="C51" s="95"/>
      <x:c r="D51" s="95"/>
      <x:c r="E51" s="95"/>
      <x:c r="F51" s="95"/>
      <x:c r="G51" s="96"/>
    </x:row>
    <x:row r="52" ht="15" hidden="0" customHeight="1">
      <x:c r="A52" s="92"/>
      <x:c r="B52" s="95"/>
      <x:c r="C52" s="95"/>
      <x:c r="D52" s="95"/>
      <x:c r="E52" s="95"/>
      <x:c r="F52" s="95"/>
      <x:c r="G52" s="96"/>
    </x:row>
    <x:row r="53" ht="15" hidden="0" customHeight="1">
      <x:c r="A53" s="92"/>
      <x:c r="B53" s="95"/>
      <x:c r="C53" s="95"/>
      <x:c r="D53" s="95"/>
      <x:c r="E53" s="95"/>
      <x:c r="F53" s="95"/>
      <x:c r="G53" s="96"/>
    </x:row>
    <x:row r="54" ht="15" hidden="0" customHeight="1">
      <x:c r="A54" s="92"/>
      <x:c r="B54" s="95"/>
      <x:c r="C54" s="95"/>
      <x:c r="D54" s="95"/>
      <x:c r="E54" s="95"/>
      <x:c r="F54" s="95"/>
      <x:c r="G54" s="96"/>
    </x:row>
    <x:row r="55" ht="15" hidden="0" customHeight="1">
      <x:c r="A55" s="92"/>
      <x:c r="B55" s="95"/>
      <x:c r="C55" s="95"/>
      <x:c r="D55" s="95"/>
      <x:c r="E55" s="95"/>
      <x:c r="F55" s="95"/>
      <x:c r="G55" s="96"/>
    </x:row>
    <x:row r="56" ht="15" hidden="0" customHeight="1">
      <x:c r="A56" s="92"/>
      <x:c r="B56" s="95"/>
      <x:c r="C56" s="95"/>
      <x:c r="D56" s="95"/>
      <x:c r="E56" s="95"/>
      <x:c r="F56" s="95"/>
      <x:c r="G56" s="96"/>
    </x:row>
    <x:row r="57" ht="15" hidden="0" customHeight="1">
      <x:c r="A57" s="92"/>
      <x:c r="B57" s="95"/>
      <x:c r="C57" s="95"/>
      <x:c r="D57" s="95"/>
      <x:c r="E57" s="95"/>
      <x:c r="F57" s="95"/>
      <x:c r="G57" s="96"/>
    </x:row>
    <x:row r="58" ht="15" hidden="0" customHeight="1">
      <x:c r="A58" s="92"/>
      <x:c r="B58" s="95"/>
      <x:c r="C58" s="95"/>
      <x:c r="D58" s="95"/>
      <x:c r="E58" s="95"/>
      <x:c r="F58" s="95"/>
      <x:c r="G58" s="96"/>
    </x:row>
    <x:row r="59" ht="15" hidden="0" customHeight="1">
      <x:c r="A59" s="92"/>
      <x:c r="B59" s="95"/>
      <x:c r="C59" s="95"/>
      <x:c r="D59" s="95"/>
      <x:c r="E59" s="95"/>
      <x:c r="F59" s="95"/>
      <x:c r="G59" s="96"/>
    </x:row>
    <x:row r="60" ht="15" hidden="0" customHeight="1">
      <x:c r="A60" s="92"/>
      <x:c r="B60" s="95"/>
      <x:c r="C60" s="95"/>
      <x:c r="D60" s="95"/>
      <x:c r="E60" s="95"/>
      <x:c r="F60" s="95"/>
      <x:c r="G60" s="96"/>
    </x:row>
    <x:row r="61" ht="15" hidden="0" customHeight="1">
      <x:c r="A61" s="92"/>
      <x:c r="B61" s="95"/>
      <x:c r="C61" s="95"/>
      <x:c r="D61" s="95"/>
      <x:c r="E61" s="95"/>
      <x:c r="F61" s="95"/>
      <x:c r="G61" s="96"/>
    </x:row>
    <x:row r="62" ht="15" hidden="0" customHeight="1">
      <x:c r="A62" s="92"/>
      <x:c r="B62" s="95"/>
      <x:c r="C62" s="95"/>
      <x:c r="D62" s="95"/>
      <x:c r="E62" s="95"/>
      <x:c r="F62" s="95"/>
      <x:c r="G62" s="96"/>
    </x:row>
    <x:row r="63" ht="15" hidden="0" customHeight="1">
      <x:c r="A63" s="92"/>
      <x:c r="B63" s="95"/>
      <x:c r="C63" s="95"/>
      <x:c r="D63" s="95"/>
      <x:c r="E63" s="95"/>
      <x:c r="F63" s="95"/>
      <x:c r="G63" s="96"/>
    </x:row>
    <x:row r="64" ht="15" hidden="0" customHeight="1">
      <x:c r="A64" s="92"/>
      <x:c r="B64" s="95"/>
      <x:c r="C64" s="95"/>
      <x:c r="D64" s="95"/>
      <x:c r="E64" s="95"/>
      <x:c r="F64" s="95"/>
      <x:c r="G64" s="96"/>
    </x:row>
    <x:row r="65" ht="15" hidden="0" customHeight="1">
      <x:c r="A65" s="92"/>
      <x:c r="B65" s="95"/>
      <x:c r="C65" s="95"/>
      <x:c r="D65" s="95"/>
      <x:c r="E65" s="95"/>
      <x:c r="F65" s="95"/>
      <x:c r="G65" s="96"/>
    </x:row>
    <x:row r="66" ht="15" hidden="0" customHeight="1">
      <x:c r="A66" s="92"/>
      <x:c r="B66" s="95"/>
      <x:c r="C66" s="95"/>
      <x:c r="D66" s="95"/>
      <x:c r="E66" s="95"/>
      <x:c r="F66" s="95"/>
      <x:c r="G66" s="96"/>
    </x:row>
    <x:row r="67" ht="15" hidden="0" customHeight="1">
      <x:c r="A67" s="92"/>
      <x:c r="B67" s="95"/>
      <x:c r="C67" s="95"/>
      <x:c r="D67" s="95"/>
      <x:c r="E67" s="95"/>
      <x:c r="F67" s="95"/>
      <x:c r="G67" s="96"/>
    </x:row>
    <x:row r="68" ht="15" hidden="0" customHeight="1">
      <x:c r="A68" s="92"/>
      <x:c r="B68" s="95"/>
      <x:c r="C68" s="95"/>
      <x:c r="D68" s="95"/>
      <x:c r="E68" s="95"/>
      <x:c r="F68" s="95"/>
      <x:c r="G68" s="96"/>
    </x:row>
    <x:row r="69" ht="15" hidden="0" customHeight="1">
      <x:c r="A69" s="92"/>
      <x:c r="B69" s="95"/>
      <x:c r="C69" s="95"/>
      <x:c r="D69" s="95"/>
      <x:c r="E69" s="95"/>
      <x:c r="F69" s="95"/>
      <x:c r="G69" s="96"/>
    </x:row>
    <x:row r="70" ht="15" hidden="0" customHeight="1">
      <x:c r="A70" s="92"/>
      <x:c r="B70" s="95"/>
      <x:c r="C70" s="95"/>
      <x:c r="D70" s="95"/>
      <x:c r="E70" s="95"/>
      <x:c r="F70" s="95"/>
      <x:c r="G70" s="96"/>
    </x:row>
    <x:row r="71" ht="15" hidden="0" customHeight="1">
      <x:c r="A71" s="92"/>
      <x:c r="B71" s="95"/>
      <x:c r="C71" s="95"/>
      <x:c r="D71" s="95"/>
      <x:c r="E71" s="95"/>
      <x:c r="F71" s="95"/>
      <x:c r="G71" s="96"/>
    </x:row>
    <x:row r="72" ht="15" hidden="0" customHeight="1">
      <x:c r="A72" s="92"/>
      <x:c r="B72" s="95"/>
      <x:c r="C72" s="95"/>
      <x:c r="D72" s="95"/>
      <x:c r="E72" s="95"/>
      <x:c r="F72" s="95"/>
      <x:c r="G72" s="96"/>
    </x:row>
    <x:row r="73" ht="15" hidden="0" customHeight="1">
      <x:c r="A73" s="92"/>
      <x:c r="B73" s="95"/>
      <x:c r="C73" s="95"/>
      <x:c r="D73" s="95"/>
      <x:c r="E73" s="95"/>
      <x:c r="F73" s="95"/>
      <x:c r="G73" s="96"/>
    </x:row>
    <x:row r="74" ht="15" hidden="0" customHeight="1">
      <x:c r="A74" s="92"/>
      <x:c r="B74" s="95"/>
      <x:c r="C74" s="95"/>
      <x:c r="D74" s="95"/>
      <x:c r="E74" s="95"/>
      <x:c r="F74" s="95"/>
      <x:c r="G74" s="96"/>
    </x:row>
    <x:row r="75" ht="15" hidden="0" customHeight="1">
      <x:c r="A75" s="92"/>
      <x:c r="B75" s="95"/>
      <x:c r="C75" s="95"/>
      <x:c r="D75" s="95"/>
      <x:c r="E75" s="95"/>
      <x:c r="F75" s="95"/>
      <x:c r="G75" s="96"/>
    </x:row>
    <x:row r="76" ht="15" hidden="0" customHeight="1">
      <x:c r="A76" s="92"/>
      <x:c r="B76" s="95"/>
      <x:c r="C76" s="95"/>
      <x:c r="D76" s="95"/>
      <x:c r="E76" s="95"/>
      <x:c r="F76" s="95"/>
      <x:c r="G76" s="96"/>
    </x:row>
    <x:row r="77" ht="15" hidden="0" customHeight="1">
      <x:c r="A77" s="92"/>
      <x:c r="B77" s="95"/>
      <x:c r="C77" s="95"/>
      <x:c r="D77" s="95"/>
      <x:c r="E77" s="95"/>
      <x:c r="F77" s="95"/>
      <x:c r="G77" s="96"/>
    </x:row>
    <x:row r="78" ht="15" hidden="0" customHeight="1">
      <x:c r="A78" s="92"/>
      <x:c r="B78" s="95"/>
      <x:c r="C78" s="95"/>
      <x:c r="D78" s="95"/>
      <x:c r="E78" s="95"/>
      <x:c r="F78" s="95"/>
      <x:c r="G78" s="96"/>
    </x:row>
    <x:row r="79" ht="15" hidden="0" customHeight="1">
      <x:c r="A79" s="92"/>
      <x:c r="B79" s="95"/>
      <x:c r="C79" s="95"/>
      <x:c r="D79" s="95"/>
      <x:c r="E79" s="95"/>
      <x:c r="F79" s="95"/>
      <x:c r="G79" s="96"/>
    </x:row>
    <x:row r="80" ht="15" hidden="0" customHeight="1">
      <x:c r="A80" s="92"/>
      <x:c r="B80" s="95"/>
      <x:c r="C80" s="95"/>
      <x:c r="D80" s="95"/>
      <x:c r="E80" s="95"/>
      <x:c r="F80" s="95"/>
      <x:c r="G80" s="96"/>
    </x:row>
    <x:row r="81" ht="15" hidden="0" customHeight="1">
      <x:c r="A81" s="92"/>
      <x:c r="B81" s="95"/>
      <x:c r="C81" s="95"/>
      <x:c r="D81" s="95"/>
      <x:c r="E81" s="95"/>
      <x:c r="F81" s="95"/>
      <x:c r="G81" s="96"/>
    </x:row>
    <x:row r="82" ht="15" hidden="0" customHeight="1">
      <x:c r="A82" s="92"/>
      <x:c r="B82" s="95"/>
      <x:c r="C82" s="95"/>
      <x:c r="D82" s="95"/>
      <x:c r="E82" s="95"/>
      <x:c r="F82" s="95"/>
      <x:c r="G82" s="96"/>
    </x:row>
    <x:row r="83" ht="15" hidden="0" customHeight="1">
      <x:c r="A83" s="92"/>
      <x:c r="B83" s="95"/>
      <x:c r="C83" s="95"/>
      <x:c r="D83" s="95"/>
      <x:c r="E83" s="95"/>
      <x:c r="F83" s="95"/>
      <x:c r="G83" s="96"/>
    </x:row>
    <x:row r="84" ht="15" hidden="0" customHeight="1">
      <x:c r="A84" s="92"/>
      <x:c r="B84" s="95"/>
      <x:c r="C84" s="95"/>
      <x:c r="D84" s="95"/>
      <x:c r="E84" s="95"/>
      <x:c r="F84" s="95"/>
      <x:c r="G84" s="96"/>
    </x:row>
    <x:row r="85" ht="15" hidden="0" customHeight="1">
      <x:c r="A85" s="92"/>
      <x:c r="B85" s="95"/>
      <x:c r="C85" s="95"/>
      <x:c r="D85" s="95"/>
      <x:c r="E85" s="95"/>
      <x:c r="F85" s="95"/>
      <x:c r="G85" s="96"/>
    </x:row>
    <x:row r="86" ht="15" hidden="0" customHeight="1">
      <x:c r="A86" s="92"/>
      <x:c r="B86" s="95"/>
      <x:c r="C86" s="95"/>
      <x:c r="D86" s="95"/>
      <x:c r="E86" s="95"/>
      <x:c r="F86" s="95"/>
      <x:c r="G86" s="96"/>
    </x:row>
    <x:row r="87" ht="15" hidden="0" customHeight="1">
      <x:c r="A87" s="92"/>
      <x:c r="B87" s="95"/>
      <x:c r="C87" s="95"/>
      <x:c r="D87" s="95"/>
      <x:c r="E87" s="95"/>
      <x:c r="F87" s="95"/>
      <x:c r="G87" s="96"/>
    </x:row>
    <x:row r="88" ht="15" hidden="0" customHeight="1">
      <x:c r="A88" s="92"/>
      <x:c r="B88" s="95"/>
      <x:c r="C88" s="95"/>
      <x:c r="D88" s="95"/>
      <x:c r="E88" s="95"/>
      <x:c r="F88" s="95"/>
      <x:c r="G88" s="96"/>
    </x:row>
    <x:row r="89" ht="15" hidden="0" customHeight="1">
      <x:c r="A89" s="92"/>
      <x:c r="B89" s="95"/>
      <x:c r="C89" s="95"/>
      <x:c r="D89" s="95"/>
      <x:c r="E89" s="95"/>
      <x:c r="F89" s="95"/>
      <x:c r="G89" s="96"/>
    </x:row>
    <x:row r="90" ht="15" hidden="0" customHeight="1">
      <x:c r="A90" s="92"/>
      <x:c r="B90" s="95"/>
      <x:c r="C90" s="95"/>
      <x:c r="D90" s="95"/>
      <x:c r="E90" s="95"/>
      <x:c r="F90" s="95"/>
      <x:c r="G90" s="96"/>
    </x:row>
    <x:row r="91" ht="15" hidden="0" customHeight="1">
      <x:c r="A91" s="92"/>
      <x:c r="B91" s="95"/>
      <x:c r="C91" s="95"/>
      <x:c r="D91" s="95"/>
      <x:c r="E91" s="95"/>
      <x:c r="F91" s="95"/>
      <x:c r="G91" s="96"/>
    </x:row>
    <x:row r="92" ht="15" hidden="0" customHeight="1">
      <x:c r="A92" s="92"/>
      <x:c r="B92" s="95"/>
      <x:c r="C92" s="95"/>
      <x:c r="D92" s="95"/>
      <x:c r="E92" s="95"/>
      <x:c r="F92" s="95"/>
      <x:c r="G92" s="96"/>
    </x:row>
    <x:row r="93" ht="15" hidden="0" customHeight="1">
      <x:c r="A93" s="92"/>
      <x:c r="B93" s="95"/>
      <x:c r="C93" s="95"/>
      <x:c r="D93" s="95"/>
      <x:c r="E93" s="95"/>
      <x:c r="F93" s="95"/>
      <x:c r="G93" s="96"/>
    </x:row>
    <x:row r="94" ht="15" hidden="0" customHeight="1">
      <x:c r="A94" s="92"/>
      <x:c r="B94" s="95"/>
      <x:c r="C94" s="95"/>
      <x:c r="D94" s="95"/>
      <x:c r="E94" s="95"/>
      <x:c r="F94" s="95"/>
      <x:c r="G94" s="96"/>
    </x:row>
    <x:row r="95" ht="15" hidden="0" customHeight="1">
      <x:c r="A95" s="92"/>
      <x:c r="B95" s="95"/>
      <x:c r="C95" s="95"/>
      <x:c r="D95" s="95"/>
      <x:c r="E95" s="95"/>
      <x:c r="F95" s="95"/>
      <x:c r="G95" s="96"/>
    </x:row>
    <x:row r="96" ht="15" hidden="0" customHeight="1">
      <x:c r="A96" s="92"/>
      <x:c r="B96" s="95"/>
      <x:c r="C96" s="95"/>
      <x:c r="D96" s="95"/>
      <x:c r="E96" s="95"/>
      <x:c r="F96" s="95"/>
      <x:c r="G96" s="96"/>
    </x:row>
    <x:row r="97" ht="15" hidden="0" customHeight="1">
      <x:c r="A97" s="92"/>
      <x:c r="B97" s="95"/>
      <x:c r="C97" s="95"/>
      <x:c r="D97" s="95"/>
      <x:c r="E97" s="95"/>
      <x:c r="F97" s="95"/>
      <x:c r="G97" s="96"/>
    </x:row>
    <x:row r="98" ht="15" hidden="0" customHeight="1">
      <x:c r="A98" s="92"/>
      <x:c r="B98" s="95"/>
      <x:c r="C98" s="95"/>
      <x:c r="D98" s="95"/>
      <x:c r="E98" s="95"/>
      <x:c r="F98" s="95"/>
      <x:c r="G98" s="96"/>
    </x:row>
    <x:row r="99" ht="15" hidden="0" customHeight="1">
      <x:c r="A99" s="92"/>
      <x:c r="B99" s="95"/>
      <x:c r="C99" s="95"/>
      <x:c r="D99" s="95"/>
      <x:c r="E99" s="95"/>
      <x:c r="F99" s="95"/>
      <x:c r="G99" s="96"/>
    </x:row>
    <x:row r="100" ht="15" hidden="0" customHeight="1">
      <x:c r="A100" s="92"/>
      <x:c r="B100" s="95"/>
      <x:c r="C100" s="95"/>
      <x:c r="D100" s="95"/>
      <x:c r="E100" s="95"/>
      <x:c r="F100" s="95"/>
      <x:c r="G100" s="96"/>
    </x:row>
    <x:row r="101" ht="15" hidden="0" customHeight="1">
      <x:c r="A101" s="92"/>
      <x:c r="B101" s="95"/>
      <x:c r="C101" s="95"/>
      <x:c r="D101" s="95"/>
      <x:c r="E101" s="95"/>
      <x:c r="F101" s="95"/>
      <x:c r="G101" s="96"/>
    </x:row>
    <x:row r="102" ht="15" hidden="0" customHeight="1">
      <x:c r="A102" s="92"/>
      <x:c r="B102" s="95"/>
      <x:c r="C102" s="95"/>
      <x:c r="D102" s="95"/>
      <x:c r="E102" s="95"/>
      <x:c r="F102" s="95"/>
      <x:c r="G102" s="96"/>
    </x:row>
    <x:row r="103" ht="15" hidden="0" customHeight="1">
      <x:c r="A103" s="92"/>
      <x:c r="B103" s="95"/>
      <x:c r="C103" s="95"/>
      <x:c r="D103" s="95"/>
      <x:c r="E103" s="95"/>
      <x:c r="F103" s="95"/>
      <x:c r="G103" s="96"/>
    </x:row>
    <x:row r="104" ht="15" hidden="0" customHeight="1">
      <x:c r="A104" s="92"/>
      <x:c r="B104" s="95"/>
      <x:c r="C104" s="95"/>
      <x:c r="D104" s="95"/>
      <x:c r="E104" s="95"/>
      <x:c r="F104" s="95"/>
      <x:c r="G104" s="96"/>
    </x:row>
    <x:row r="105" ht="15" hidden="0" customHeight="1">
      <x:c r="A105" s="97"/>
      <x:c r="B105" s="100"/>
      <x:c r="C105" s="100"/>
      <x:c r="D105" s="100"/>
      <x:c r="E105" s="100"/>
      <x:c r="F105" s="100"/>
      <x:c r="G105" s="101"/>
    </x:row>
  </x:sheetData>
  <x:mergeCells>
    <x:mergeCell ref="A1:G1"/>
    <x:mergeCell ref="A3:G3"/>
  </x:mergeCells>
  <x:conditionalFormatting sqref="E6:E105">
    <x:cfRule type="containsText" dxfId="5" priority="1" operator="containsText" text="Pasó"/>
    <x:cfRule type="containsText" dxfId="6" priority="2" operator="containsText" text="Aprobada"/>
    <x:cfRule type="containsText" dxfId="7" priority="3" operator="containsText" text="Falló"/>
    <x:cfRule type="containsText" dxfId="8" priority="4" operator="containsText" text="Bloqueado"/>
    <x:cfRule type="containsText" dxfId="9" priority="5" operator="containsText" text="Requiere aclaración"/>
  </x:conditionalFormatting>
  <x:dataValidations count="2">
    <x:dataValidation type="list" sqref="D6:D105">
      <x:formula1>"Funcional,Negativo,Validación,Regla de negocio,Interfaz,Datos,Permisos"</x:formula1>
    </x:dataValidation>
    <x:dataValidation type="list" sqref="E6:E105">
      <x:formula1>"Pendiente,Cumple,No cumple,Bloqueado,Requiere aclaración"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692514ae2340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1.25" hidden="0" customWidth="1"/>
    <x:col min="3" max="3" width="16.8799991607666" hidden="0" customWidth="1"/>
    <x:col min="4" max="4" width="30.6299991607666" hidden="0" customWidth="1"/>
    <x:col min="5" max="5" width="13.75" hidden="0" customWidth="1"/>
    <x:col min="6" max="6" width="28.75" hidden="0" customWidth="1"/>
    <x:col min="7" max="7" width="40" hidden="0" customWidth="1"/>
    <x:col min="8" max="8" width="26.25" hidden="0" customWidth="1"/>
    <x:col min="9" max="9" width="38.75" hidden="0" customWidth="1"/>
    <x:col min="10" max="10" width="13.130000114440918" hidden="0" customWidth="1"/>
    <x:col min="11" max="11" width="31.25" hidden="0" customWidth="1"/>
    <x:col min="12" max="12" width="14.380000114440918" hidden="0" customWidth="1"/>
    <x:col min="13" max="13" width="14.380000114440918" hidden="0" customWidth="1"/>
    <x:col min="14" max="14" width="15" hidden="0" customWidth="1"/>
  </x:cols>
  <x:sheetData>
    <x:row r="1" ht="19.200000762939453" hidden="0" customHeight="1">
      <x:c r="A1" s="81" t="str">
        <x:v>Casos de Prueba - Sprint 2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 ht="15" hidden="0" customHeight="1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15" hidden="0" customHeight="1">
      <x:c r="A3" s="83" t="str">
        <x:v>Ejecuta los pasos en el sistema y llena Estado, Resultado obtenido, Fecha ejecución y Bug relacionado si falla.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</x:row>
    <x:row r="5" ht="15" hidden="0" customHeight="1">
      <x:c r="A5" s="84" t="str">
        <x:v>ID Caso</x:v>
      </x:c>
      <x:c r="B5" s="86" t="str">
        <x:v>ID Historia</x:v>
      </x:c>
      <x:c r="C5" s="86" t="str">
        <x:v>Módulo</x:v>
      </x:c>
      <x:c r="D5" s="86" t="str">
        <x:v>Escenario</x:v>
      </x:c>
      <x:c r="E5" s="86" t="str">
        <x:v>Tipo</x:v>
      </x:c>
      <x:c r="F5" s="86" t="str">
        <x:v>Precondiciones</x:v>
      </x:c>
      <x:c r="G5" s="86" t="str">
        <x:v>Pasos</x:v>
      </x:c>
      <x:c r="H5" s="86" t="str">
        <x:v>Datos de prueba</x:v>
      </x:c>
      <x:c r="I5" s="86" t="str">
        <x:v>Resultado esperado</x:v>
      </x:c>
      <x:c r="J5" s="86" t="str">
        <x:v>Estado</x:v>
      </x:c>
      <x:c r="K5" s="86" t="str">
        <x:v>Resultado obtenido</x:v>
      </x:c>
      <x:c r="L5" s="86" t="str">
        <x:v>Severidad si falla</x:v>
      </x:c>
      <x:c r="M5" s="86" t="str">
        <x:v>Fecha ejecución</x:v>
      </x:c>
      <x:c r="N5" s="85" t="str">
        <x:v>Bug relacionado</x:v>
      </x:c>
    </x:row>
    <x:row r="6" ht="36" hidden="0" customHeight="1">
      <x:c r="A6" s="87" t="str">
        <x:v>CP-001</x:v>
      </x:c>
      <x:c r="B6" s="90" t="str">
        <x:v>GH-034</x:v>
      </x:c>
      <x:c r="C6" s="90" t="str">
        <x:v>Convocatorias</x:v>
      </x:c>
      <x:c r="D6" s="90" t="str">
        <x:v>Carga de convocatorias desde backend</x:v>
      </x:c>
      <x:c r="E6" s="90" t="str">
        <x:v>Funcional</x:v>
      </x:c>
      <x:c r="F6" s="90" t="str">
        <x:v>Backend con endpoint GET /v1/convocatorias disponible</x:v>
      </x:c>
      <x:c r="G6" s="90" t="str">
        <x:v>1. Abrir pantalla de convocatorias
2. Observar la carga inicial
3. Comparar registros con respuesta del backend</x:v>
      </x:c>
      <x:c r="H6" s="90" t="str">
        <x:v>Endpoint GET /v1/convocatorias</x:v>
      </x:c>
      <x:c r="I6" s="90" t="str">
        <x:v>La pantalla muestra convocatoria activa e historial real del backend.</x:v>
      </x:c>
      <x:c r="J6" s="90" t="str">
        <x:v>Pendiente</x:v>
      </x:c>
      <x:c r="K6" s="90" t="str"/>
      <x:c r="L6" s="90" t="str">
        <x:v>Alta</x:v>
      </x:c>
      <x:c r="M6" s="105"/>
      <x:c r="N6" s="91" t="str"/>
    </x:row>
    <x:row r="7" ht="48" hidden="0" customHeight="1">
      <x:c r="A7" s="92" t="str">
        <x:v>CP-002</x:v>
      </x:c>
      <x:c r="B7" s="95" t="str">
        <x:v>GH-034</x:v>
      </x:c>
      <x:c r="C7" s="95" t="str">
        <x:v>Convocatorias</x:v>
      </x:c>
      <x:c r="D7" s="95" t="str">
        <x:v>Verificar ausencia de datos hardcodeados</x:v>
      </x:c>
      <x:c r="E7" s="95" t="str">
        <x:v>Datos</x:v>
      </x:c>
      <x:c r="F7" s="95" t="str">
        <x:v>Frontend conectado al backend</x:v>
      </x:c>
      <x:c r="G7" s="95" t="str">
        <x:v>1. Cambiar datos en backend o usar base con datos distintos
2. Recargar convocatorias
3. Comparar datos visibles</x:v>
      </x:c>
      <x:c r="H7" s="95" t="str">
        <x:v>Datos reales diferentes a los mock</x:v>
      </x:c>
      <x:c r="I7" s="95" t="str">
        <x:v>La UI refleja datos reales y no mantiene valores hardcodeados.</x:v>
      </x:c>
      <x:c r="J7" s="95" t="str">
        <x:v>Pendiente</x:v>
      </x:c>
      <x:c r="K7" s="95" t="str"/>
      <x:c r="L7" s="95" t="str">
        <x:v>Alta</x:v>
      </x:c>
      <x:c r="M7" s="106"/>
      <x:c r="N7" s="96" t="str"/>
    </x:row>
    <x:row r="8" ht="36" hidden="0" customHeight="1">
      <x:c r="A8" s="92" t="str">
        <x:v>CP-003</x:v>
      </x:c>
      <x:c r="B8" s="95" t="str">
        <x:v>GH-034</x:v>
      </x:c>
      <x:c r="C8" s="95" t="str">
        <x:v>Convocatorias</x:v>
      </x:c>
      <x:c r="D8" s="95" t="str">
        <x:v>Estado loading al cargar</x:v>
      </x:c>
      <x:c r="E8" s="95" t="str">
        <x:v>Interfaz</x:v>
      </x:c>
      <x:c r="F8" s="95" t="str">
        <x:v>Simular respuesta lenta del backend</x:v>
      </x:c>
      <x:c r="G8" s="95" t="str">
        <x:v>1. Abrir DevTools Network
2. Simular conexión lenta
3. Abrir convocatorias</x:v>
      </x:c>
      <x:c r="H8" s="95" t="str">
        <x:v>Network lento</x:v>
      </x:c>
      <x:c r="I8" s="95" t="str">
        <x:v>Se muestra estado de carga mientras llega la respuesta.</x:v>
      </x:c>
      <x:c r="J8" s="95" t="str">
        <x:v>Pendiente</x:v>
      </x:c>
      <x:c r="K8" s="95" t="str"/>
      <x:c r="L8" s="95" t="str">
        <x:v>Media</x:v>
      </x:c>
      <x:c r="M8" s="106"/>
      <x:c r="N8" s="96" t="str"/>
    </x:row>
    <x:row r="9" ht="24" hidden="0" customHeight="1">
      <x:c r="A9" s="92" t="str">
        <x:v>CP-004</x:v>
      </x:c>
      <x:c r="B9" s="95" t="str">
        <x:v>GH-034</x:v>
      </x:c>
      <x:c r="C9" s="95" t="str">
        <x:v>Convocatorias</x:v>
      </x:c>
      <x:c r="D9" s="95" t="str">
        <x:v>Error del backend</x:v>
      </x:c>
      <x:c r="E9" s="95" t="str">
        <x:v>Negativo</x:v>
      </x:c>
      <x:c r="F9" s="95" t="str">
        <x:v>Poder apagar backend o forzar error</x:v>
      </x:c>
      <x:c r="G9" s="95" t="str">
        <x:v>1. Detener backend o provocar error
2. Abrir convocatorias</x:v>
      </x:c>
      <x:c r="H9" s="95" t="str">
        <x:v>Backend caído/error 500</x:v>
      </x:c>
      <x:c r="I9" s="95" t="str">
        <x:v>La UI no se rompe y muestra mensaje de error claro.</x:v>
      </x:c>
      <x:c r="J9" s="95" t="str">
        <x:v>Pendiente</x:v>
      </x:c>
      <x:c r="K9" s="95" t="str"/>
      <x:c r="L9" s="95" t="str">
        <x:v>Alta</x:v>
      </x:c>
      <x:c r="M9" s="106"/>
      <x:c r="N9" s="96" t="str"/>
    </x:row>
    <x:row r="10" ht="24" hidden="0" customHeight="1">
      <x:c r="A10" s="92" t="str">
        <x:v>CP-005</x:v>
      </x:c>
      <x:c r="B10" s="95" t="str">
        <x:v>GH-034</x:v>
      </x:c>
      <x:c r="C10" s="95" t="str">
        <x:v>Convocatorias</x:v>
      </x:c>
      <x:c r="D10" s="95" t="str">
        <x:v>Lista vacía</x:v>
      </x:c>
      <x:c r="E10" s="95" t="str">
        <x:v>Borde</x:v>
      </x:c>
      <x:c r="F10" s="95" t="str">
        <x:v>Backend responde arreglo vacío</x:v>
      </x:c>
      <x:c r="G10" s="95" t="str">
        <x:v>1. Usar ambiente sin convocatorias
2. Abrir pantalla</x:v>
      </x:c>
      <x:c r="H10" s="95" t="str">
        <x:v>Respuesta vacía []</x:v>
      </x:c>
      <x:c r="I10" s="95" t="str">
        <x:v>La UI muestra estado vacío apropiado.</x:v>
      </x:c>
      <x:c r="J10" s="95" t="str">
        <x:v>Pendiente</x:v>
      </x:c>
      <x:c r="K10" s="95" t="str"/>
      <x:c r="L10" s="95" t="str">
        <x:v>Media</x:v>
      </x:c>
      <x:c r="M10" s="106"/>
      <x:c r="N10" s="96" t="str"/>
    </x:row>
    <x:row r="11" ht="24" hidden="0" customHeight="1">
      <x:c r="A11" s="92" t="str">
        <x:v>CP-006</x:v>
      </x:c>
      <x:c r="B11" s="95" t="str">
        <x:v>GH-006</x:v>
      </x:c>
      <x:c r="C11" s="95" t="str">
        <x:v>Listado</x:v>
      </x:c>
      <x:c r="D11" s="95" t="str">
        <x:v>Campos mínimos del listado</x:v>
      </x:c>
      <x:c r="E11" s="95" t="str">
        <x:v>Funcional</x:v>
      </x:c>
      <x:c r="F11" s="95" t="str">
        <x:v>Existen convocatorias registradas</x:v>
      </x:c>
      <x:c r="G11" s="95" t="str">
        <x:v>1. Abrir listado
2. Revisar cada fila/tarjeta visible</x:v>
      </x:c>
      <x:c r="H11" s="95" t="str">
        <x:v>Convocatorias activas y finalizadas</x:v>
      </x:c>
      <x:c r="I11" s="95" t="str">
        <x:v>Se ven nombre, gestión, fechas, estado y acciones.</x:v>
      </x:c>
      <x:c r="J11" s="95" t="str">
        <x:v>Pendiente</x:v>
      </x:c>
      <x:c r="K11" s="95" t="str"/>
      <x:c r="L11" s="95" t="str">
        <x:v>Media</x:v>
      </x:c>
      <x:c r="M11" s="106"/>
      <x:c r="N11" s="96" t="str"/>
    </x:row>
    <x:row r="12" ht="24" hidden="0" customHeight="1">
      <x:c r="A12" s="92" t="str">
        <x:v>CP-007</x:v>
      </x:c>
      <x:c r="B12" s="95" t="str">
        <x:v>GH-006</x:v>
      </x:c>
      <x:c r="C12" s="95" t="str">
        <x:v>Listado</x:v>
      </x:c>
      <x:c r="D12" s="95" t="str">
        <x:v>Identificar convocatoria activa</x:v>
      </x:c>
      <x:c r="E12" s="95" t="str">
        <x:v>Interfaz</x:v>
      </x:c>
      <x:c r="F12" s="95" t="str">
        <x:v>Existe convocatoria activa</x:v>
      </x:c>
      <x:c r="G12" s="95" t="str">
        <x:v>1. Abrir listado
2. Revisar sección o etiqueta de convocatoria activa</x:v>
      </x:c>
      <x:c r="H12" s="95" t="str">
        <x:v>Convocatoria activa</x:v>
      </x:c>
      <x:c r="I12" s="95" t="str">
        <x:v>La convocatoria activa se distingue fácilmente del historial.</x:v>
      </x:c>
      <x:c r="J12" s="95" t="str">
        <x:v>Pendiente</x:v>
      </x:c>
      <x:c r="K12" s="95" t="str"/>
      <x:c r="L12" s="95" t="str">
        <x:v>Media</x:v>
      </x:c>
      <x:c r="M12" s="106"/>
      <x:c r="N12" s="96" t="str"/>
    </x:row>
    <x:row r="13" ht="36" hidden="0" customHeight="1">
      <x:c r="A13" s="92" t="str">
        <x:v>CP-008</x:v>
      </x:c>
      <x:c r="B13" s="95" t="str">
        <x:v>GH-006</x:v>
      </x:c>
      <x:c r="C13" s="95" t="str">
        <x:v>Listado</x:v>
      </x:c>
      <x:c r="D13" s="95" t="str">
        <x:v>Acciones disponibles por estado</x:v>
      </x:c>
      <x:c r="E13" s="95" t="str">
        <x:v>Regresión</x:v>
      </x:c>
      <x:c r="F13" s="95" t="str">
        <x:v>Existen convocatorias activas y finalizadas</x:v>
      </x:c>
      <x:c r="G13" s="95" t="str">
        <x:v>1. Revisar convocatoria activa
2. Revisar convocatoria finalizada
3. Comparar acciones</x:v>
      </x:c>
      <x:c r="H13" s="95" t="str">
        <x:v>Activa / Finalizada</x:v>
      </x:c>
      <x:c r="I13" s="95" t="str">
        <x:v>Activa permite acciones válidas; finalizada no permite acciones indebidas.</x:v>
      </x:c>
      <x:c r="J13" s="95" t="str">
        <x:v>Pendiente</x:v>
      </x:c>
      <x:c r="K13" s="95" t="str"/>
      <x:c r="L13" s="95" t="str">
        <x:v>Alta</x:v>
      </x:c>
      <x:c r="M13" s="106"/>
      <x:c r="N13" s="96" t="str"/>
    </x:row>
    <x:row r="14" ht="24" hidden="0" customHeight="1">
      <x:c r="A14" s="92" t="str">
        <x:v>CP-009</x:v>
      </x:c>
      <x:c r="B14" s="95" t="str">
        <x:v>GH-008</x:v>
      </x:c>
      <x:c r="C14" s="95" t="str">
        <x:v>Cerrar convocatoria</x:v>
      </x:c>
      <x:c r="D14" s="95" t="str">
        <x:v>Abrir modal de confirmación</x:v>
      </x:c>
      <x:c r="E14" s="95" t="str">
        <x:v>Funcional</x:v>
      </x:c>
      <x:c r="F14" s="95" t="str">
        <x:v>Existe convocatoria activa</x:v>
      </x:c>
      <x:c r="G14" s="95" t="str">
        <x:v>1. Abrir convocatorias
2. Presionar Cerrar en convocatoria activa</x:v>
      </x:c>
      <x:c r="H14" s="95" t="str">
        <x:v>Convocatoria activa</x:v>
      </x:c>
      <x:c r="I14" s="95" t="str">
        <x:v>Se abre modal de confirmación antes de cerrar.</x:v>
      </x:c>
      <x:c r="J14" s="95" t="str">
        <x:v>Pendiente</x:v>
      </x:c>
      <x:c r="K14" s="95" t="str"/>
      <x:c r="L14" s="95" t="str">
        <x:v>Media</x:v>
      </x:c>
      <x:c r="M14" s="106"/>
      <x:c r="N14" s="96" t="str"/>
    </x:row>
    <x:row r="15" ht="24" hidden="0" customHeight="1">
      <x:c r="A15" s="92" t="str">
        <x:v>CP-010</x:v>
      </x:c>
      <x:c r="B15" s="95" t="str">
        <x:v>GH-008</x:v>
      </x:c>
      <x:c r="C15" s="95" t="str">
        <x:v>Cerrar convocatoria</x:v>
      </x:c>
      <x:c r="D15" s="95" t="str">
        <x:v>Cancelar cierre</x:v>
      </x:c>
      <x:c r="E15" s="95" t="str">
        <x:v>Negativo</x:v>
      </x:c>
      <x:c r="F15" s="95" t="str">
        <x:v>Modal de confirmación abierto</x:v>
      </x:c>
      <x:c r="G15" s="95" t="str">
        <x:v>1. Presionar Cerrar
2. En modal presionar Cancelar</x:v>
      </x:c>
      <x:c r="H15" s="95" t="str">
        <x:v>Modal abierto</x:v>
      </x:c>
      <x:c r="I15" s="95" t="str">
        <x:v>El modal se cierra y la convocatoria sigue Activa.</x:v>
      </x:c>
      <x:c r="J15" s="95" t="str">
        <x:v>Pendiente</x:v>
      </x:c>
      <x:c r="K15" s="95" t="str"/>
      <x:c r="L15" s="95" t="str">
        <x:v>Media</x:v>
      </x:c>
      <x:c r="M15" s="106"/>
      <x:c r="N15" s="96" t="str"/>
    </x:row>
    <x:row r="16" ht="36" hidden="0" customHeight="1">
      <x:c r="A16" s="92" t="str">
        <x:v>CP-011</x:v>
      </x:c>
      <x:c r="B16" s="95" t="str">
        <x:v>GH-041</x:v>
      </x:c>
      <x:c r="C16" s="95" t="str">
        <x:v>Cerrar convocatoria</x:v>
      </x:c>
      <x:c r="D16" s="95" t="str">
        <x:v>Aceptar cierre con backend exitoso</x:v>
      </x:c>
      <x:c r="E16" s="95" t="str">
        <x:v>Funcional</x:v>
      </x:c>
      <x:c r="F16" s="95" t="str">
        <x:v>Backend disponible y convocatoria activa</x:v>
      </x:c>
      <x:c r="G16" s="95" t="str">
        <x:v>1. Presionar Cerrar
2. Presionar Aceptar
3. Esperar respuesta</x:v>
      </x:c>
      <x:c r="H16" s="95" t="str">
        <x:v>Convocatoria activa</x:v>
      </x:c>
      <x:c r="I16" s="95" t="str">
        <x:v>Se envía petición real, modal se cierra y estado cambia a Finalizada sin recargar.</x:v>
      </x:c>
      <x:c r="J16" s="95" t="str">
        <x:v>Pendiente</x:v>
      </x:c>
      <x:c r="K16" s="95" t="str"/>
      <x:c r="L16" s="95" t="str">
        <x:v>Alta</x:v>
      </x:c>
      <x:c r="M16" s="106"/>
      <x:c r="N16" s="96" t="str"/>
    </x:row>
    <x:row r="17" ht="36" hidden="0" customHeight="1">
      <x:c r="A17" s="92" t="str">
        <x:v>CP-012</x:v>
      </x:c>
      <x:c r="B17" s="95" t="str">
        <x:v>GH-041</x:v>
      </x:c>
      <x:c r="C17" s="95" t="str">
        <x:v>Cerrar convocatoria</x:v>
      </x:c>
      <x:c r="D17" s="95" t="str">
        <x:v>Loading y bloqueo de múltiples clics al aceptar</x:v>
      </x:c>
      <x:c r="E17" s="95" t="str">
        <x:v>Interfaz</x:v>
      </x:c>
      <x:c r="F17" s="95" t="str">
        <x:v>Simular respuesta lenta del endpoint de cierre</x:v>
      </x:c>
      <x:c r="G17" s="95" t="str">
        <x:v>1. Abrir modal
2. Presionar Aceptar
3. Intentar presionar varias veces</x:v>
      </x:c>
      <x:c r="H17" s="95" t="str">
        <x:v>Endpoint lento</x:v>
      </x:c>
      <x:c r="I17" s="95" t="str">
        <x:v>El botón muestra/loading o queda bloqueado y no se envían múltiples peticiones.</x:v>
      </x:c>
      <x:c r="J17" s="95" t="str">
        <x:v>Pendiente</x:v>
      </x:c>
      <x:c r="K17" s="95" t="str"/>
      <x:c r="L17" s="95" t="str">
        <x:v>Alta</x:v>
      </x:c>
      <x:c r="M17" s="106"/>
      <x:c r="N17" s="96" t="str"/>
    </x:row>
    <x:row r="18" ht="24" hidden="0" customHeight="1">
      <x:c r="A18" s="92" t="str">
        <x:v>CP-013</x:v>
      </x:c>
      <x:c r="B18" s="95" t="str">
        <x:v>GH-041</x:v>
      </x:c>
      <x:c r="C18" s="95" t="str">
        <x:v>Cerrar convocatoria</x:v>
      </x:c>
      <x:c r="D18" s="95" t="str">
        <x:v>Error al cerrar convocatoria</x:v>
      </x:c>
      <x:c r="E18" s="95" t="str">
        <x:v>Negativo</x:v>
      </x:c>
      <x:c r="F18" s="95" t="str">
        <x:v>Forzar error en endpoint de cierre</x:v>
      </x:c>
      <x:c r="G18" s="95" t="str">
        <x:v>1. Abrir modal
2. Presionar Aceptar con backend fallando</x:v>
      </x:c>
      <x:c r="H18" s="95" t="str">
        <x:v>Error 4xx/5xx</x:v>
      </x:c>
      <x:c r="I18" s="95" t="str">
        <x:v>Se muestra error y el modal permanece abierto para reintentar o cancelar.</x:v>
      </x:c>
      <x:c r="J18" s="95" t="str">
        <x:v>Pendiente</x:v>
      </x:c>
      <x:c r="K18" s="95" t="str"/>
      <x:c r="L18" s="95" t="str">
        <x:v>Alta</x:v>
      </x:c>
      <x:c r="M18" s="106"/>
      <x:c r="N18" s="96" t="str"/>
    </x:row>
    <x:row r="19" ht="24" hidden="0" customHeight="1">
      <x:c r="A19" s="92" t="str">
        <x:v>CP-014</x:v>
      </x:c>
      <x:c r="B19" s="95" t="str">
        <x:v>GH-008</x:v>
      </x:c>
      <x:c r="C19" s="95" t="str">
        <x:v>Cerrar convocatoria</x:v>
      </x:c>
      <x:c r="D19" s="95" t="str">
        <x:v>No modificar convocatoria finalizada</x:v>
      </x:c>
      <x:c r="E19" s="95" t="str">
        <x:v>Permisos</x:v>
      </x:c>
      <x:c r="F19" s="95" t="str">
        <x:v>Existe convocatoria finalizada</x:v>
      </x:c>
      <x:c r="G19" s="95" t="str">
        <x:v>1. Buscar convocatoria finalizada
2. Intentar editar o cerrar si aparece acción</x:v>
      </x:c>
      <x:c r="H19" s="95" t="str">
        <x:v>Convocatoria finalizada</x:v>
      </x:c>
      <x:c r="I19" s="95" t="str">
        <x:v>No se puede modificar ni cerrar nuevamente una convocatoria finalizada.</x:v>
      </x:c>
      <x:c r="J19" s="95" t="str">
        <x:v>Pendiente</x:v>
      </x:c>
      <x:c r="K19" s="95" t="str"/>
      <x:c r="L19" s="95" t="str">
        <x:v>Alta</x:v>
      </x:c>
      <x:c r="M19" s="106"/>
      <x:c r="N19" s="96" t="str"/>
    </x:row>
    <x:row r="20" ht="24" hidden="0" customHeight="1">
      <x:c r="A20" s="92" t="str">
        <x:v>CP-015</x:v>
      </x:c>
      <x:c r="B20" s="95" t="str">
        <x:v>GH-007</x:v>
      </x:c>
      <x:c r="C20" s="95" t="str">
        <x:v>Editar convocatoria</x:v>
      </x:c>
      <x:c r="D20" s="95" t="str">
        <x:v>Abrir edición de convocatoria</x:v>
      </x:c>
      <x:c r="E20" s="95" t="str">
        <x:v>Funcional</x:v>
      </x:c>
      <x:c r="F20" s="95" t="str">
        <x:v>Existe convocatoria editable</x:v>
      </x:c>
      <x:c r="G20" s="95" t="str">
        <x:v>1. Abrir listado
2. Presionar Editar en convocatoria activa</x:v>
      </x:c>
      <x:c r="H20" s="95" t="str">
        <x:v>Convocatoria activa</x:v>
      </x:c>
      <x:c r="I20" s="95" t="str">
        <x:v>Se muestra formulario de edición con datos actuales.</x:v>
      </x:c>
      <x:c r="J20" s="95" t="str">
        <x:v>Pendiente</x:v>
      </x:c>
      <x:c r="K20" s="95" t="str"/>
      <x:c r="L20" s="95" t="str">
        <x:v>Media</x:v>
      </x:c>
      <x:c r="M20" s="106"/>
      <x:c r="N20" s="96" t="str"/>
    </x:row>
    <x:row r="21" ht="36" hidden="0" customHeight="1">
      <x:c r="A21" s="92" t="str">
        <x:v>CP-016</x:v>
      </x:c>
      <x:c r="B21" s="95" t="str">
        <x:v>GH-007</x:v>
      </x:c>
      <x:c r="C21" s="95" t="str">
        <x:v>Editar convocatoria</x:v>
      </x:c>
      <x:c r="D21" s="95" t="str">
        <x:v>Guardar deshabilitado sin cambios</x:v>
      </x:c>
      <x:c r="E21" s="95" t="str">
        <x:v>Interfaz</x:v>
      </x:c>
      <x:c r="F21" s="95" t="str">
        <x:v>Formulario de edición abierto</x:v>
      </x:c>
      <x:c r="G21" s="95" t="str">
        <x:v>1. Abrir edición
2. No modificar ningún campo
3. Revisar botón Guardar cambios</x:v>
      </x:c>
      <x:c r="H21" s="95" t="str">
        <x:v>Sin cambios</x:v>
      </x:c>
      <x:c r="I21" s="95" t="str">
        <x:v>El botón Guardar cambios permanece deshabilitado.</x:v>
      </x:c>
      <x:c r="J21" s="95" t="str">
        <x:v>Pendiente</x:v>
      </x:c>
      <x:c r="K21" s="95" t="str"/>
      <x:c r="L21" s="95" t="str">
        <x:v>Media</x:v>
      </x:c>
      <x:c r="M21" s="106"/>
      <x:c r="N21" s="96" t="str"/>
    </x:row>
    <x:row r="22" ht="36" hidden="0" customHeight="1">
      <x:c r="A22" s="92" t="str">
        <x:v>CP-017</x:v>
      </x:c>
      <x:c r="B22" s="95" t="str">
        <x:v>GH-007</x:v>
      </x:c>
      <x:c r="C22" s="95" t="str">
        <x:v>Editar convocatoria</x:v>
      </x:c>
      <x:c r="D22" s="95" t="str">
        <x:v>Modificar fecha cierre</x:v>
      </x:c>
      <x:c r="E22" s="95" t="str">
        <x:v>Funcional</x:v>
      </x:c>
      <x:c r="F22" s="95" t="str">
        <x:v>Formulario de edición abierto</x:v>
      </x:c>
      <x:c r="G22" s="95" t="str">
        <x:v>1. Cambiar fecha de cierre
2. Guardar cambios
3. Volver al listado</x:v>
      </x:c>
      <x:c r="H22" s="95" t="str">
        <x:v>Nueva fecha válida</x:v>
      </x:c>
      <x:c r="I22" s="95" t="str">
        <x:v>La nueva fecha se guarda y se refleja en listado.</x:v>
      </x:c>
      <x:c r="J22" s="95" t="str">
        <x:v>Pendiente</x:v>
      </x:c>
      <x:c r="K22" s="95" t="str"/>
      <x:c r="L22" s="95" t="str">
        <x:v>Alta</x:v>
      </x:c>
      <x:c r="M22" s="106"/>
      <x:c r="N22" s="96" t="str"/>
    </x:row>
    <x:row r="23" ht="36" hidden="0" customHeight="1">
      <x:c r="A23" s="92" t="str">
        <x:v>CP-018</x:v>
      </x:c>
      <x:c r="B23" s="95" t="str">
        <x:v>GH-007</x:v>
      </x:c>
      <x:c r="C23" s="95" t="str">
        <x:v>Editar convocatoria</x:v>
      </x:c>
      <x:c r="D23" s="95" t="str">
        <x:v>Modificar descripción</x:v>
      </x:c>
      <x:c r="E23" s="95" t="str">
        <x:v>Funcional</x:v>
      </x:c>
      <x:c r="F23" s="95" t="str">
        <x:v>Formulario de edición abierto</x:v>
      </x:c>
      <x:c r="G23" s="95" t="str">
        <x:v>1. Cambiar descripción
2. Guardar cambios
3. Revisar mensaje</x:v>
      </x:c>
      <x:c r="H23" s="95" t="str">
        <x:v>Descripción válida</x:v>
      </x:c>
      <x:c r="I23" s="95" t="str">
        <x:v>Se muestra mensaje de éxito y el dato queda actualizado.</x:v>
      </x:c>
      <x:c r="J23" s="95" t="str">
        <x:v>Pendiente</x:v>
      </x:c>
      <x:c r="K23" s="95" t="str"/>
      <x:c r="L23" s="95" t="str">
        <x:v>Media</x:v>
      </x:c>
      <x:c r="M23" s="106"/>
      <x:c r="N23" s="96" t="str"/>
    </x:row>
    <x:row r="24" ht="36" hidden="0" customHeight="1">
      <x:c r="A24" s="92" t="str">
        <x:v>CP-019</x:v>
      </x:c>
      <x:c r="B24" s="95" t="str">
        <x:v>GH-007</x:v>
      </x:c>
      <x:c r="C24" s="95" t="str">
        <x:v>Editar convocatoria</x:v>
      </x:c>
      <x:c r="D24" s="95" t="str">
        <x:v>Modificar fases</x:v>
      </x:c>
      <x:c r="E24" s="95" t="str">
        <x:v>Funcional</x:v>
      </x:c>
      <x:c r="F24" s="95" t="str">
        <x:v>Formulario de edición abierto con fases disponibles</x:v>
      </x:c>
      <x:c r="G24" s="95" t="str">
        <x:v>1. Cambiar fases
2. Guardar cambios
3. Revisar datos actualizados</x:v>
      </x:c>
      <x:c r="H24" s="95" t="str">
        <x:v>Fases válidas</x:v>
      </x:c>
      <x:c r="I24" s="95" t="str">
        <x:v>Las fases actualizadas se guardan correctamente.</x:v>
      </x:c>
      <x:c r="J24" s="95" t="str">
        <x:v>Pendiente</x:v>
      </x:c>
      <x:c r="K24" s="95" t="str"/>
      <x:c r="L24" s="95" t="str">
        <x:v>Alta</x:v>
      </x:c>
      <x:c r="M24" s="106"/>
      <x:c r="N24" s="96" t="str"/>
    </x:row>
    <x:row r="25" ht="24" hidden="0" customHeight="1">
      <x:c r="A25" s="92" t="str">
        <x:v>CP-020</x:v>
      </x:c>
      <x:c r="B25" s="95" t="str">
        <x:v>GH-009</x:v>
      </x:c>
      <x:c r="C25" s="95" t="str">
        <x:v>Buscar/Filtrar</x:v>
      </x:c>
      <x:c r="D25" s="95" t="str">
        <x:v>Buscar por nombre</x:v>
      </x:c>
      <x:c r="E25" s="95" t="str">
        <x:v>Funcional</x:v>
      </x:c>
      <x:c r="F25" s="95" t="str">
        <x:v>Existen convocatorias con nombres distintos</x:v>
      </x:c>
      <x:c r="G25" s="95" t="str">
        <x:v>1. Escribir parte del nombre en buscador
2. Revisar resultados</x:v>
      </x:c>
      <x:c r="H25" s="95" t="str">
        <x:v>Texto de nombre existente</x:v>
      </x:c>
      <x:c r="I25" s="95" t="str">
        <x:v>La lista muestra solo convocatorias que coinciden.</x:v>
      </x:c>
      <x:c r="J25" s="95" t="str">
        <x:v>Pendiente</x:v>
      </x:c>
      <x:c r="K25" s="95" t="str"/>
      <x:c r="L25" s="95" t="str">
        <x:v>Media</x:v>
      </x:c>
      <x:c r="M25" s="106"/>
      <x:c r="N25" s="96" t="str"/>
    </x:row>
    <x:row r="26" ht="24" hidden="0" customHeight="1">
      <x:c r="A26" s="92" t="str">
        <x:v>CP-021</x:v>
      </x:c>
      <x:c r="B26" s="95" t="str">
        <x:v>GH-009</x:v>
      </x:c>
      <x:c r="C26" s="95" t="str">
        <x:v>Buscar/Filtrar</x:v>
      </x:c>
      <x:c r="D26" s="95" t="str">
        <x:v>Buscar por gestión</x:v>
      </x:c>
      <x:c r="E26" s="95" t="str">
        <x:v>Funcional</x:v>
      </x:c>
      <x:c r="F26" s="95" t="str">
        <x:v>Existen convocatorias de distintas gestiones</x:v>
      </x:c>
      <x:c r="G26" s="95" t="str">
        <x:v>1. Buscar por año/gestión
2. Revisar resultados</x:v>
      </x:c>
      <x:c r="H26" s="95" t="str">
        <x:v>Gestión existente</x:v>
      </x:c>
      <x:c r="I26" s="95" t="str">
        <x:v>La lista muestra convocatorias de esa gestión.</x:v>
      </x:c>
      <x:c r="J26" s="95" t="str">
        <x:v>Pendiente</x:v>
      </x:c>
      <x:c r="K26" s="95" t="str"/>
      <x:c r="L26" s="95" t="str">
        <x:v>Media</x:v>
      </x:c>
      <x:c r="M26" s="106"/>
      <x:c r="N26" s="96" t="str"/>
    </x:row>
    <x:row r="27" ht="15" hidden="0" customHeight="1">
      <x:c r="A27" s="92" t="str">
        <x:v>CP-022</x:v>
      </x:c>
      <x:c r="B27" s="95" t="str">
        <x:v>GH-009</x:v>
      </x:c>
      <x:c r="C27" s="95" t="str">
        <x:v>Buscar/Filtrar</x:v>
      </x:c>
      <x:c r="D27" s="95" t="str">
        <x:v>Filtro Activa</x:v>
      </x:c>
      <x:c r="E27" s="95" t="str">
        <x:v>Funcional</x:v>
      </x:c>
      <x:c r="F27" s="95" t="str">
        <x:v>Existe convocatoria activa</x:v>
      </x:c>
      <x:c r="G27" s="95" t="str">
        <x:v>1. Seleccionar filtro Activa</x:v>
      </x:c>
      <x:c r="H27" s="95" t="str">
        <x:v>Estado Activa</x:v>
      </x:c>
      <x:c r="I27" s="95" t="str">
        <x:v>Solo se muestran convocatorias activas.</x:v>
      </x:c>
      <x:c r="J27" s="95" t="str">
        <x:v>Pendiente</x:v>
      </x:c>
      <x:c r="K27" s="95" t="str"/>
      <x:c r="L27" s="95" t="str">
        <x:v>Media</x:v>
      </x:c>
      <x:c r="M27" s="106"/>
      <x:c r="N27" s="96" t="str"/>
    </x:row>
    <x:row r="28" ht="15" hidden="0" customHeight="1">
      <x:c r="A28" s="92" t="str">
        <x:v>CP-023</x:v>
      </x:c>
      <x:c r="B28" s="95" t="str">
        <x:v>GH-009</x:v>
      </x:c>
      <x:c r="C28" s="95" t="str">
        <x:v>Buscar/Filtrar</x:v>
      </x:c>
      <x:c r="D28" s="95" t="str">
        <x:v>Filtro Finalizada</x:v>
      </x:c>
      <x:c r="E28" s="95" t="str">
        <x:v>Funcional</x:v>
      </x:c>
      <x:c r="F28" s="95" t="str">
        <x:v>Existen convocatorias finalizadas</x:v>
      </x:c>
      <x:c r="G28" s="95" t="str">
        <x:v>1. Seleccionar filtro Finalizada</x:v>
      </x:c>
      <x:c r="H28" s="95" t="str">
        <x:v>Estado Finalizada</x:v>
      </x:c>
      <x:c r="I28" s="95" t="str">
        <x:v>Solo se muestran convocatorias finalizadas.</x:v>
      </x:c>
      <x:c r="J28" s="95" t="str">
        <x:v>Pendiente</x:v>
      </x:c>
      <x:c r="K28" s="95" t="str"/>
      <x:c r="L28" s="95" t="str">
        <x:v>Media</x:v>
      </x:c>
      <x:c r="M28" s="106"/>
      <x:c r="N28" s="96" t="str"/>
    </x:row>
    <x:row r="29" ht="15" hidden="0" customHeight="1">
      <x:c r="A29" s="92" t="str">
        <x:v>CP-024</x:v>
      </x:c>
      <x:c r="B29" s="95" t="str">
        <x:v>GH-009</x:v>
      </x:c>
      <x:c r="C29" s="95" t="str">
        <x:v>Buscar/Filtrar</x:v>
      </x:c>
      <x:c r="D29" s="95" t="str">
        <x:v>Filtro Todas</x:v>
      </x:c>
      <x:c r="E29" s="95" t="str">
        <x:v>Funcional</x:v>
      </x:c>
      <x:c r="F29" s="95" t="str">
        <x:v>Existen convocatorias activas y finalizadas</x:v>
      </x:c>
      <x:c r="G29" s="95" t="str">
        <x:v>1. Seleccionar filtro Todas</x:v>
      </x:c>
      <x:c r="H29" s="95" t="str">
        <x:v>Todos los estados</x:v>
      </x:c>
      <x:c r="I29" s="95" t="str">
        <x:v>La lista muestra activas y finalizadas.</x:v>
      </x:c>
      <x:c r="J29" s="95" t="str">
        <x:v>Pendiente</x:v>
      </x:c>
      <x:c r="K29" s="95" t="str"/>
      <x:c r="L29" s="95" t="str">
        <x:v>Baja</x:v>
      </x:c>
      <x:c r="M29" s="106"/>
      <x:c r="N29" s="96" t="str"/>
    </x:row>
    <x:row r="30" ht="15" hidden="0" customHeight="1">
      <x:c r="A30" s="92" t="str">
        <x:v>CP-025</x:v>
      </x:c>
      <x:c r="B30" s="95" t="str">
        <x:v>GH-009</x:v>
      </x:c>
      <x:c r="C30" s="95" t="str">
        <x:v>Buscar/Filtrar</x:v>
      </x:c>
      <x:c r="D30" s="95" t="str">
        <x:v>Búsqueda sin resultados</x:v>
      </x:c>
      <x:c r="E30" s="95" t="str">
        <x:v>Negativo</x:v>
      </x:c>
      <x:c r="F30" s="95" t="str">
        <x:v>Listado cargado</x:v>
      </x:c>
      <x:c r="G30" s="95" t="str">
        <x:v>1. Buscar texto inexistente</x:v>
      </x:c>
      <x:c r="H30" s="95" t="str">
        <x:v>Texto inexistente</x:v>
      </x:c>
      <x:c r="I30" s="95" t="str">
        <x:v>La UI muestra mensaje de sin resultados sin romperse.</x:v>
      </x:c>
      <x:c r="J30" s="95" t="str">
        <x:v>Pendiente</x:v>
      </x:c>
      <x:c r="K30" s="95" t="str"/>
      <x:c r="L30" s="95" t="str">
        <x:v>Baja</x:v>
      </x:c>
      <x:c r="M30" s="106"/>
      <x:c r="N30" s="96" t="str"/>
    </x:row>
    <x:row r="31" ht="24" hidden="0" customHeight="1">
      <x:c r="A31" s="92" t="str">
        <x:v>CP-026</x:v>
      </x:c>
      <x:c r="B31" s="95" t="str">
        <x:v>GH-034</x:v>
      </x:c>
      <x:c r="C31" s="95" t="str">
        <x:v>Regresión</x:v>
      </x:c>
      <x:c r="D31" s="95" t="str">
        <x:v>Revisar que listado, tabla y tarjeta activa no se rompan con miembrosNuevos opcional</x:v>
      </x:c>
      <x:c r="E31" s="95" t="str">
        <x:v>Regresión</x:v>
      </x:c>
      <x:c r="F31" s="95" t="str">
        <x:v>Backend devuelve algunos objetos sin miembrosNuevos</x:v>
      </x:c>
      <x:c r="G31" s="95" t="str">
        <x:v>1. Abrir convocatorias
2. Revisar tarjeta activa y tabla</x:v>
      </x:c>
      <x:c r="H31" s="95" t="str">
        <x:v>Objeto sin miembrosNuevos</x:v>
      </x:c>
      <x:c r="I31" s="95" t="str">
        <x:v>La pantalla renderiza correctamente aunque el campo opcional no exista.</x:v>
      </x:c>
      <x:c r="J31" s="95" t="str">
        <x:v>Pendiente</x:v>
      </x:c>
      <x:c r="K31" s="95" t="str"/>
      <x:c r="L31" s="95" t="str">
        <x:v>Media</x:v>
      </x:c>
      <x:c r="M31" s="106"/>
      <x:c r="N31" s="96" t="str"/>
    </x:row>
    <x:row r="32" ht="15" hidden="0" customHeight="1">
      <x:c r="A32" s="92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106"/>
      <x:c r="N32" s="96"/>
    </x:row>
    <x:row r="33" ht="15" hidden="0" customHeight="1">
      <x:c r="A33" s="92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106"/>
      <x:c r="N33" s="96"/>
    </x:row>
    <x:row r="34" ht="15" hidden="0" customHeight="1">
      <x:c r="A34" s="92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106"/>
      <x:c r="N34" s="96"/>
    </x:row>
    <x:row r="35" ht="15" hidden="0" customHeight="1">
      <x:c r="A35" s="92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106"/>
      <x:c r="N35" s="96"/>
    </x:row>
    <x:row r="36" ht="15" hidden="0" customHeight="1">
      <x:c r="A36" s="92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106"/>
      <x:c r="N36" s="96"/>
    </x:row>
    <x:row r="37" ht="15" hidden="0" customHeight="1">
      <x:c r="A37" s="92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106"/>
      <x:c r="N37" s="96"/>
    </x:row>
    <x:row r="38" ht="15" hidden="0" customHeight="1">
      <x:c r="A38" s="92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106"/>
      <x:c r="N38" s="96"/>
    </x:row>
    <x:row r="39" ht="15" hidden="0" customHeight="1">
      <x:c r="A39" s="92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106"/>
      <x:c r="N39" s="96"/>
    </x:row>
    <x:row r="40" ht="15" hidden="0" customHeight="1">
      <x:c r="A40" s="92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106"/>
      <x:c r="N40" s="96"/>
    </x:row>
    <x:row r="41" ht="15" hidden="0" customHeight="1">
      <x:c r="A41" s="92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106"/>
      <x:c r="N41" s="96"/>
    </x:row>
    <x:row r="42" ht="15" hidden="0" customHeight="1">
      <x:c r="A42" s="92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106"/>
      <x:c r="N42" s="96"/>
    </x:row>
    <x:row r="43" ht="15" hidden="0" customHeight="1">
      <x:c r="A43" s="92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106"/>
      <x:c r="N43" s="96"/>
    </x:row>
    <x:row r="44" ht="15" hidden="0" customHeight="1">
      <x:c r="A44" s="92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106"/>
      <x:c r="N44" s="96"/>
    </x:row>
    <x:row r="45" ht="15" hidden="0" customHeight="1">
      <x:c r="A45" s="92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106"/>
      <x:c r="N45" s="96"/>
    </x:row>
    <x:row r="46" ht="15" hidden="0" customHeight="1">
      <x:c r="A46" s="92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106"/>
      <x:c r="N46" s="96"/>
    </x:row>
    <x:row r="47" ht="15" hidden="0" customHeight="1">
      <x:c r="A47" s="92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106"/>
      <x:c r="N47" s="96"/>
    </x:row>
    <x:row r="48" ht="15" hidden="0" customHeight="1">
      <x:c r="A48" s="92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106"/>
      <x:c r="N48" s="96"/>
    </x:row>
    <x:row r="49" ht="15" hidden="0" customHeight="1">
      <x:c r="A49" s="92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106"/>
      <x:c r="N49" s="96"/>
    </x:row>
    <x:row r="50" ht="15" hidden="0" customHeight="1">
      <x:c r="A50" s="92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106"/>
      <x:c r="N50" s="96"/>
    </x:row>
    <x:row r="51" ht="15" hidden="0" customHeight="1">
      <x:c r="A51" s="92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106"/>
      <x:c r="N51" s="96"/>
    </x:row>
    <x:row r="52" ht="15" hidden="0" customHeight="1">
      <x:c r="A52" s="92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106"/>
      <x:c r="N52" s="96"/>
    </x:row>
    <x:row r="53" ht="15" hidden="0" customHeight="1">
      <x:c r="A53" s="92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106"/>
      <x:c r="N53" s="96"/>
    </x:row>
    <x:row r="54" ht="15" hidden="0" customHeight="1">
      <x:c r="A54" s="92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106"/>
      <x:c r="N54" s="96"/>
    </x:row>
    <x:row r="55" ht="15" hidden="0" customHeight="1">
      <x:c r="A55" s="92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106"/>
      <x:c r="N55" s="96"/>
    </x:row>
    <x:row r="56" ht="15" hidden="0" customHeight="1">
      <x:c r="A56" s="92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106"/>
      <x:c r="N56" s="96"/>
    </x:row>
    <x:row r="57" ht="15" hidden="0" customHeight="1">
      <x:c r="A57" s="92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106"/>
      <x:c r="N57" s="96"/>
    </x:row>
    <x:row r="58" ht="15" hidden="0" customHeight="1">
      <x:c r="A58" s="92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106"/>
      <x:c r="N58" s="96"/>
    </x:row>
    <x:row r="59" ht="15" hidden="0" customHeight="1">
      <x:c r="A59" s="92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106"/>
      <x:c r="N59" s="96"/>
    </x:row>
    <x:row r="60" ht="15" hidden="0" customHeight="1">
      <x:c r="A60" s="92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106"/>
      <x:c r="N60" s="96"/>
    </x:row>
    <x:row r="61" ht="15" hidden="0" customHeight="1">
      <x:c r="A61" s="92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106"/>
      <x:c r="N61" s="96"/>
    </x:row>
    <x:row r="62" ht="15" hidden="0" customHeight="1">
      <x:c r="A62" s="92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106"/>
      <x:c r="N62" s="96"/>
    </x:row>
    <x:row r="63" ht="15" hidden="0" customHeight="1">
      <x:c r="A63" s="92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106"/>
      <x:c r="N63" s="96"/>
    </x:row>
    <x:row r="64" ht="15" hidden="0" customHeight="1">
      <x:c r="A64" s="92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106"/>
      <x:c r="N64" s="96"/>
    </x:row>
    <x:row r="65" ht="15" hidden="0" customHeight="1">
      <x:c r="A65" s="92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106"/>
      <x:c r="N65" s="96"/>
    </x:row>
    <x:row r="66" ht="15" hidden="0" customHeight="1">
      <x:c r="A66" s="92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106"/>
      <x:c r="N66" s="96"/>
    </x:row>
    <x:row r="67" ht="15" hidden="0" customHeight="1">
      <x:c r="A67" s="92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106"/>
      <x:c r="N67" s="96"/>
    </x:row>
    <x:row r="68" ht="15" hidden="0" customHeight="1">
      <x:c r="A68" s="92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106"/>
      <x:c r="N68" s="96"/>
    </x:row>
    <x:row r="69" ht="15" hidden="0" customHeight="1">
      <x:c r="A69" s="92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106"/>
      <x:c r="N69" s="96"/>
    </x:row>
    <x:row r="70" ht="15" hidden="0" customHeight="1">
      <x:c r="A70" s="92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106"/>
      <x:c r="N70" s="96"/>
    </x:row>
    <x:row r="71" ht="15" hidden="0" customHeight="1">
      <x:c r="A71" s="92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106"/>
      <x:c r="N71" s="96"/>
    </x:row>
    <x:row r="72" ht="15" hidden="0" customHeight="1">
      <x:c r="A72" s="92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106"/>
      <x:c r="N72" s="96"/>
    </x:row>
    <x:row r="73" ht="15" hidden="0" customHeight="1">
      <x:c r="A73" s="92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106"/>
      <x:c r="N73" s="96"/>
    </x:row>
    <x:row r="74" ht="15" hidden="0" customHeight="1">
      <x:c r="A74" s="92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106"/>
      <x:c r="N74" s="96"/>
    </x:row>
    <x:row r="75" ht="15" hidden="0" customHeight="1">
      <x:c r="A75" s="92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106"/>
      <x:c r="N75" s="96"/>
    </x:row>
    <x:row r="76" ht="15" hidden="0" customHeight="1">
      <x:c r="A76" s="92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106"/>
      <x:c r="N76" s="96"/>
    </x:row>
    <x:row r="77" ht="15" hidden="0" customHeight="1">
      <x:c r="A77" s="92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106"/>
      <x:c r="N77" s="96"/>
    </x:row>
    <x:row r="78" ht="15" hidden="0" customHeight="1">
      <x:c r="A78" s="92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106"/>
      <x:c r="N78" s="96"/>
    </x:row>
    <x:row r="79" ht="15" hidden="0" customHeight="1">
      <x:c r="A79" s="92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106"/>
      <x:c r="N79" s="96"/>
    </x:row>
    <x:row r="80" ht="15" hidden="0" customHeight="1">
      <x:c r="A80" s="92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106"/>
      <x:c r="N80" s="96"/>
    </x:row>
    <x:row r="81" ht="15" hidden="0" customHeight="1">
      <x:c r="A81" s="92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106"/>
      <x:c r="N81" s="96"/>
    </x:row>
    <x:row r="82" ht="15" hidden="0" customHeight="1">
      <x:c r="A82" s="92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106"/>
      <x:c r="N82" s="96"/>
    </x:row>
    <x:row r="83" ht="15" hidden="0" customHeight="1">
      <x:c r="A83" s="92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106"/>
      <x:c r="N83" s="96"/>
    </x:row>
    <x:row r="84" ht="15" hidden="0" customHeight="1">
      <x:c r="A84" s="92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106"/>
      <x:c r="N84" s="96"/>
    </x:row>
    <x:row r="85" ht="15" hidden="0" customHeight="1">
      <x:c r="A85" s="92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106"/>
      <x:c r="N85" s="96"/>
    </x:row>
    <x:row r="86" ht="15" hidden="0" customHeight="1">
      <x:c r="A86" s="92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106"/>
      <x:c r="N86" s="96"/>
    </x:row>
    <x:row r="87" ht="15" hidden="0" customHeight="1">
      <x:c r="A87" s="92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106"/>
      <x:c r="N87" s="96"/>
    </x:row>
    <x:row r="88" ht="15" hidden="0" customHeight="1">
      <x:c r="A88" s="92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106"/>
      <x:c r="N88" s="96"/>
    </x:row>
    <x:row r="89" ht="15" hidden="0" customHeight="1">
      <x:c r="A89" s="92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106"/>
      <x:c r="N89" s="96"/>
    </x:row>
    <x:row r="90" ht="15" hidden="0" customHeight="1">
      <x:c r="A90" s="92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106"/>
      <x:c r="N90" s="96"/>
    </x:row>
    <x:row r="91" ht="15" hidden="0" customHeight="1">
      <x:c r="A91" s="92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106"/>
      <x:c r="N91" s="96"/>
    </x:row>
    <x:row r="92" ht="15" hidden="0" customHeight="1">
      <x:c r="A92" s="92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106"/>
      <x:c r="N92" s="96"/>
    </x:row>
    <x:row r="93" ht="15" hidden="0" customHeight="1">
      <x:c r="A93" s="92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106"/>
      <x:c r="N93" s="96"/>
    </x:row>
    <x:row r="94" ht="15" hidden="0" customHeight="1">
      <x:c r="A94" s="92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106"/>
      <x:c r="N94" s="96"/>
    </x:row>
    <x:row r="95" ht="15" hidden="0" customHeight="1">
      <x:c r="A95" s="92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106"/>
      <x:c r="N95" s="96"/>
    </x:row>
    <x:row r="96" ht="15" hidden="0" customHeight="1">
      <x:c r="A96" s="92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106"/>
      <x:c r="N96" s="96"/>
    </x:row>
    <x:row r="97" ht="15" hidden="0" customHeight="1">
      <x:c r="A97" s="92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106"/>
      <x:c r="N97" s="96"/>
    </x:row>
    <x:row r="98" ht="15" hidden="0" customHeight="1">
      <x:c r="A98" s="92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106"/>
      <x:c r="N98" s="96"/>
    </x:row>
    <x:row r="99" ht="15" hidden="0" customHeight="1">
      <x:c r="A99" s="92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106"/>
      <x:c r="N99" s="96"/>
    </x:row>
    <x:row r="100" ht="15" hidden="0" customHeight="1">
      <x:c r="A100" s="92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106"/>
      <x:c r="N100" s="96"/>
    </x:row>
    <x:row r="101" ht="15" hidden="0" customHeight="1">
      <x:c r="A101" s="92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106"/>
      <x:c r="N101" s="96"/>
    </x:row>
    <x:row r="102" ht="15" hidden="0" customHeight="1">
      <x:c r="A102" s="92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106"/>
      <x:c r="N102" s="96"/>
    </x:row>
    <x:row r="103" ht="15" hidden="0" customHeight="1">
      <x:c r="A103" s="92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106"/>
      <x:c r="N103" s="96"/>
    </x:row>
    <x:row r="104" ht="15" hidden="0" customHeight="1">
      <x:c r="A104" s="92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106"/>
      <x:c r="N104" s="96"/>
    </x:row>
    <x:row r="105" ht="15" hidden="0" customHeight="1">
      <x:c r="A105" s="92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106"/>
      <x:c r="N105" s="96"/>
    </x:row>
    <x:row r="106" ht="15" hidden="0" customHeight="1">
      <x:c r="A106" s="92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106"/>
      <x:c r="N106" s="96"/>
    </x:row>
    <x:row r="107" ht="15" hidden="0" customHeight="1">
      <x:c r="A107" s="92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106"/>
      <x:c r="N107" s="96"/>
    </x:row>
    <x:row r="108" ht="15" hidden="0" customHeight="1">
      <x:c r="A108" s="92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106"/>
      <x:c r="N108" s="96"/>
    </x:row>
    <x:row r="109" ht="15" hidden="0" customHeight="1">
      <x:c r="A109" s="92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106"/>
      <x:c r="N109" s="96"/>
    </x:row>
    <x:row r="110" ht="15" hidden="0" customHeight="1">
      <x:c r="A110" s="92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106"/>
      <x:c r="N110" s="96"/>
    </x:row>
    <x:row r="111" ht="15" hidden="0" customHeight="1">
      <x:c r="A111" s="92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106"/>
      <x:c r="N111" s="96"/>
    </x:row>
    <x:row r="112" ht="15" hidden="0" customHeight="1">
      <x:c r="A112" s="92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106"/>
      <x:c r="N112" s="96"/>
    </x:row>
    <x:row r="113" ht="15" hidden="0" customHeight="1">
      <x:c r="A113" s="92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106"/>
      <x:c r="N113" s="96"/>
    </x:row>
    <x:row r="114" ht="15" hidden="0" customHeight="1">
      <x:c r="A114" s="92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106"/>
      <x:c r="N114" s="96"/>
    </x:row>
    <x:row r="115" ht="15" hidden="0" customHeight="1">
      <x:c r="A115" s="92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106"/>
      <x:c r="N115" s="96"/>
    </x:row>
    <x:row r="116" ht="15" hidden="0" customHeight="1">
      <x:c r="A116" s="92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106"/>
      <x:c r="N116" s="96"/>
    </x:row>
    <x:row r="117" ht="15" hidden="0" customHeight="1">
      <x:c r="A117" s="92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106"/>
      <x:c r="N117" s="96"/>
    </x:row>
    <x:row r="118" ht="15" hidden="0" customHeight="1">
      <x:c r="A118" s="92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106"/>
      <x:c r="N118" s="96"/>
    </x:row>
    <x:row r="119" ht="15" hidden="0" customHeight="1">
      <x:c r="A119" s="92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106"/>
      <x:c r="N119" s="96"/>
    </x:row>
    <x:row r="120" ht="15" hidden="0" customHeight="1">
      <x:c r="A120" s="92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106"/>
      <x:c r="N120" s="96"/>
    </x:row>
    <x:row r="121" ht="15" hidden="0" customHeight="1">
      <x:c r="A121" s="92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106"/>
      <x:c r="N121" s="96"/>
    </x:row>
    <x:row r="122" ht="15" hidden="0" customHeight="1">
      <x:c r="A122" s="92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106"/>
      <x:c r="N122" s="96"/>
    </x:row>
    <x:row r="123" ht="15" hidden="0" customHeight="1">
      <x:c r="A123" s="92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106"/>
      <x:c r="N123" s="96"/>
    </x:row>
    <x:row r="124" ht="15" hidden="0" customHeight="1">
      <x:c r="A124" s="92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106"/>
      <x:c r="N124" s="96"/>
    </x:row>
    <x:row r="125" ht="15" hidden="0" customHeight="1">
      <x:c r="A125" s="92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106"/>
      <x:c r="N125" s="96"/>
    </x:row>
    <x:row r="126" ht="15" hidden="0" customHeight="1">
      <x:c r="A126" s="92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106"/>
      <x:c r="N126" s="96"/>
    </x:row>
    <x:row r="127" ht="15" hidden="0" customHeight="1">
      <x:c r="A127" s="92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106"/>
      <x:c r="N127" s="96"/>
    </x:row>
    <x:row r="128" ht="15" hidden="0" customHeight="1">
      <x:c r="A128" s="92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106"/>
      <x:c r="N128" s="96"/>
    </x:row>
    <x:row r="129" ht="15" hidden="0" customHeight="1">
      <x:c r="A129" s="92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106"/>
      <x:c r="N129" s="96"/>
    </x:row>
    <x:row r="130" ht="15" hidden="0" customHeight="1">
      <x:c r="A130" s="92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106"/>
      <x:c r="N130" s="96"/>
    </x:row>
    <x:row r="131" ht="15" hidden="0" customHeight="1">
      <x:c r="A131" s="92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106"/>
      <x:c r="N131" s="96"/>
    </x:row>
    <x:row r="132" ht="15" hidden="0" customHeight="1">
      <x:c r="A132" s="92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106"/>
      <x:c r="N132" s="96"/>
    </x:row>
    <x:row r="133" ht="15" hidden="0" customHeight="1">
      <x:c r="A133" s="92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106"/>
      <x:c r="N133" s="96"/>
    </x:row>
    <x:row r="134" ht="15" hidden="0" customHeight="1">
      <x:c r="A134" s="92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106"/>
      <x:c r="N134" s="96"/>
    </x:row>
    <x:row r="135" ht="15" hidden="0" customHeight="1">
      <x:c r="A135" s="92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106"/>
      <x:c r="N135" s="96"/>
    </x:row>
    <x:row r="136" ht="15" hidden="0" customHeight="1">
      <x:c r="A136" s="92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106"/>
      <x:c r="N136" s="96"/>
    </x:row>
    <x:row r="137" ht="15" hidden="0" customHeight="1">
      <x:c r="A137" s="92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106"/>
      <x:c r="N137" s="96"/>
    </x:row>
    <x:row r="138" ht="15" hidden="0" customHeight="1">
      <x:c r="A138" s="92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106"/>
      <x:c r="N138" s="96"/>
    </x:row>
    <x:row r="139" ht="15" hidden="0" customHeight="1">
      <x:c r="A139" s="92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106"/>
      <x:c r="N139" s="96"/>
    </x:row>
    <x:row r="140" ht="15" hidden="0" customHeight="1">
      <x:c r="A140" s="92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106"/>
      <x:c r="N140" s="96"/>
    </x:row>
    <x:row r="141" ht="15" hidden="0" customHeight="1">
      <x:c r="A141" s="92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106"/>
      <x:c r="N141" s="96"/>
    </x:row>
    <x:row r="142" ht="15" hidden="0" customHeight="1">
      <x:c r="A142" s="92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106"/>
      <x:c r="N142" s="96"/>
    </x:row>
    <x:row r="143" ht="15" hidden="0" customHeight="1">
      <x:c r="A143" s="92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106"/>
      <x:c r="N143" s="96"/>
    </x:row>
    <x:row r="144" ht="15" hidden="0" customHeight="1">
      <x:c r="A144" s="92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106"/>
      <x:c r="N144" s="96"/>
    </x:row>
    <x:row r="145" ht="15" hidden="0" customHeight="1">
      <x:c r="A145" s="92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106"/>
      <x:c r="N145" s="96"/>
    </x:row>
    <x:row r="146" ht="15" hidden="0" customHeight="1">
      <x:c r="A146" s="92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106"/>
      <x:c r="N146" s="96"/>
    </x:row>
    <x:row r="147" ht="15" hidden="0" customHeight="1">
      <x:c r="A147" s="92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106"/>
      <x:c r="N147" s="96"/>
    </x:row>
    <x:row r="148" ht="15" hidden="0" customHeight="1">
      <x:c r="A148" s="92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106"/>
      <x:c r="N148" s="96"/>
    </x:row>
    <x:row r="149" ht="15" hidden="0" customHeight="1">
      <x:c r="A149" s="92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106"/>
      <x:c r="N149" s="96"/>
    </x:row>
    <x:row r="150" ht="15" hidden="0" customHeight="1">
      <x:c r="A150" s="92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106"/>
      <x:c r="N150" s="96"/>
    </x:row>
    <x:row r="151" ht="15" hidden="0" customHeight="1">
      <x:c r="A151" s="92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106"/>
      <x:c r="N151" s="96"/>
    </x:row>
    <x:row r="152" ht="15" hidden="0" customHeight="1">
      <x:c r="A152" s="92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106"/>
      <x:c r="N152" s="96"/>
    </x:row>
    <x:row r="153" ht="15" hidden="0" customHeight="1">
      <x:c r="A153" s="92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106"/>
      <x:c r="N153" s="96"/>
    </x:row>
    <x:row r="154" ht="15" hidden="0" customHeight="1">
      <x:c r="A154" s="92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106"/>
      <x:c r="N154" s="96"/>
    </x:row>
    <x:row r="155" ht="15" hidden="0" customHeight="1">
      <x:c r="A155" s="92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106"/>
      <x:c r="N155" s="96"/>
    </x:row>
    <x:row r="156" ht="15" hidden="0" customHeight="1">
      <x:c r="A156" s="92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106"/>
      <x:c r="N156" s="96"/>
    </x:row>
    <x:row r="157" ht="15" hidden="0" customHeight="1">
      <x:c r="A157" s="92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106"/>
      <x:c r="N157" s="96"/>
    </x:row>
    <x:row r="158" ht="15" hidden="0" customHeight="1">
      <x:c r="A158" s="92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106"/>
      <x:c r="N158" s="96"/>
    </x:row>
    <x:row r="159" ht="15" hidden="0" customHeight="1">
      <x:c r="A159" s="92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106"/>
      <x:c r="N159" s="96"/>
    </x:row>
    <x:row r="160" ht="15" hidden="0" customHeight="1">
      <x:c r="A160" s="92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106"/>
      <x:c r="N160" s="96"/>
    </x:row>
    <x:row r="161" ht="15" hidden="0" customHeight="1">
      <x:c r="A161" s="92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106"/>
      <x:c r="N161" s="96"/>
    </x:row>
    <x:row r="162" ht="15" hidden="0" customHeight="1">
      <x:c r="A162" s="92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106"/>
      <x:c r="N162" s="96"/>
    </x:row>
    <x:row r="163" ht="15" hidden="0" customHeight="1">
      <x:c r="A163" s="92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106"/>
      <x:c r="N163" s="96"/>
    </x:row>
    <x:row r="164" ht="15" hidden="0" customHeight="1">
      <x:c r="A164" s="92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106"/>
      <x:c r="N164" s="96"/>
    </x:row>
    <x:row r="165" ht="15" hidden="0" customHeight="1">
      <x:c r="A165" s="92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106"/>
      <x:c r="N165" s="96"/>
    </x:row>
    <x:row r="166" ht="15" hidden="0" customHeight="1">
      <x:c r="A166" s="92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106"/>
      <x:c r="N166" s="96"/>
    </x:row>
    <x:row r="167" ht="15" hidden="0" customHeight="1">
      <x:c r="A167" s="92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106"/>
      <x:c r="N167" s="96"/>
    </x:row>
    <x:row r="168" ht="15" hidden="0" customHeight="1">
      <x:c r="A168" s="92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106"/>
      <x:c r="N168" s="96"/>
    </x:row>
    <x:row r="169" ht="15" hidden="0" customHeight="1">
      <x:c r="A169" s="92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106"/>
      <x:c r="N169" s="96"/>
    </x:row>
    <x:row r="170" ht="15" hidden="0" customHeight="1">
      <x:c r="A170" s="92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106"/>
      <x:c r="N170" s="96"/>
    </x:row>
    <x:row r="171" ht="15" hidden="0" customHeight="1">
      <x:c r="A171" s="92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106"/>
      <x:c r="N171" s="96"/>
    </x:row>
    <x:row r="172" ht="15" hidden="0" customHeight="1">
      <x:c r="A172" s="92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106"/>
      <x:c r="N172" s="96"/>
    </x:row>
    <x:row r="173" ht="15" hidden="0" customHeight="1">
      <x:c r="A173" s="92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106"/>
      <x:c r="N173" s="96"/>
    </x:row>
    <x:row r="174" ht="15" hidden="0" customHeight="1">
      <x:c r="A174" s="92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106"/>
      <x:c r="N174" s="96"/>
    </x:row>
    <x:row r="175" ht="15" hidden="0" customHeight="1">
      <x:c r="A175" s="92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106"/>
      <x:c r="N175" s="96"/>
    </x:row>
    <x:row r="176" ht="15" hidden="0" customHeight="1">
      <x:c r="A176" s="92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106"/>
      <x:c r="N176" s="96"/>
    </x:row>
    <x:row r="177" ht="15" hidden="0" customHeight="1">
      <x:c r="A177" s="92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106"/>
      <x:c r="N177" s="96"/>
    </x:row>
    <x:row r="178" ht="15" hidden="0" customHeight="1">
      <x:c r="A178" s="92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106"/>
      <x:c r="N178" s="96"/>
    </x:row>
    <x:row r="179" ht="15" hidden="0" customHeight="1">
      <x:c r="A179" s="92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106"/>
      <x:c r="N179" s="96"/>
    </x:row>
    <x:row r="180" ht="15" hidden="0" customHeight="1">
      <x:c r="A180" s="92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106"/>
      <x:c r="N180" s="96"/>
    </x:row>
    <x:row r="181" ht="15" hidden="0" customHeight="1">
      <x:c r="A181" s="92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106"/>
      <x:c r="N181" s="96"/>
    </x:row>
    <x:row r="182" ht="15" hidden="0" customHeight="1">
      <x:c r="A182" s="92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106"/>
      <x:c r="N182" s="96"/>
    </x:row>
    <x:row r="183" ht="15" hidden="0" customHeight="1">
      <x:c r="A183" s="92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106"/>
      <x:c r="N183" s="96"/>
    </x:row>
    <x:row r="184" ht="15" hidden="0" customHeight="1">
      <x:c r="A184" s="92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106"/>
      <x:c r="N184" s="96"/>
    </x:row>
    <x:row r="185" ht="15" hidden="0" customHeight="1">
      <x:c r="A185" s="92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106"/>
      <x:c r="N185" s="96"/>
    </x:row>
    <x:row r="186" ht="15" hidden="0" customHeight="1">
      <x:c r="A186" s="92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106"/>
      <x:c r="N186" s="96"/>
    </x:row>
    <x:row r="187" ht="15" hidden="0" customHeight="1">
      <x:c r="A187" s="92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106"/>
      <x:c r="N187" s="96"/>
    </x:row>
    <x:row r="188" ht="15" hidden="0" customHeight="1">
      <x:c r="A188" s="92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106"/>
      <x:c r="N188" s="96"/>
    </x:row>
    <x:row r="189" ht="15" hidden="0" customHeight="1">
      <x:c r="A189" s="92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106"/>
      <x:c r="N189" s="96"/>
    </x:row>
    <x:row r="190" ht="15" hidden="0" customHeight="1">
      <x:c r="A190" s="92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106"/>
      <x:c r="N190" s="96"/>
    </x:row>
    <x:row r="191" ht="15" hidden="0" customHeight="1">
      <x:c r="A191" s="92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106"/>
      <x:c r="N191" s="96"/>
    </x:row>
    <x:row r="192" ht="15" hidden="0" customHeight="1">
      <x:c r="A192" s="92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106"/>
      <x:c r="N192" s="96"/>
    </x:row>
    <x:row r="193" ht="15" hidden="0" customHeight="1">
      <x:c r="A193" s="92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106"/>
      <x:c r="N193" s="96"/>
    </x:row>
    <x:row r="194" ht="15" hidden="0" customHeight="1">
      <x:c r="A194" s="92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106"/>
      <x:c r="N194" s="96"/>
    </x:row>
    <x:row r="195" ht="15" hidden="0" customHeight="1">
      <x:c r="A195" s="92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106"/>
      <x:c r="N195" s="96"/>
    </x:row>
    <x:row r="196" ht="15" hidden="0" customHeight="1">
      <x:c r="A196" s="92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106"/>
      <x:c r="N196" s="96"/>
    </x:row>
    <x:row r="197" ht="15" hidden="0" customHeight="1">
      <x:c r="A197" s="92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106"/>
      <x:c r="N197" s="96"/>
    </x:row>
    <x:row r="198" ht="15" hidden="0" customHeight="1">
      <x:c r="A198" s="92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106"/>
      <x:c r="N198" s="96"/>
    </x:row>
    <x:row r="199" ht="15" hidden="0" customHeight="1">
      <x:c r="A199" s="92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106"/>
      <x:c r="N199" s="96"/>
    </x:row>
    <x:row r="200" ht="15" hidden="0" customHeight="1">
      <x:c r="A200" s="92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106"/>
      <x:c r="N200" s="96"/>
    </x:row>
    <x:row r="201" ht="15" hidden="0" customHeight="1">
      <x:c r="A201" s="92"/>
      <x:c r="B201" s="95"/>
      <x:c r="C201" s="95"/>
      <x:c r="D201" s="95"/>
      <x:c r="E201" s="95"/>
      <x:c r="F201" s="95"/>
      <x:c r="G201" s="95"/>
      <x:c r="H201" s="95"/>
      <x:c r="I201" s="95"/>
      <x:c r="J201" s="95"/>
      <x:c r="K201" s="95"/>
      <x:c r="L201" s="95"/>
      <x:c r="M201" s="106"/>
      <x:c r="N201" s="96"/>
    </x:row>
    <x:row r="202" ht="15" hidden="0" customHeight="1">
      <x:c r="A202" s="92"/>
      <x:c r="B202" s="95"/>
      <x:c r="C202" s="95"/>
      <x:c r="D202" s="95"/>
      <x:c r="E202" s="95"/>
      <x:c r="F202" s="95"/>
      <x:c r="G202" s="95"/>
      <x:c r="H202" s="95"/>
      <x:c r="I202" s="95"/>
      <x:c r="J202" s="95"/>
      <x:c r="K202" s="95"/>
      <x:c r="L202" s="95"/>
      <x:c r="M202" s="106"/>
      <x:c r="N202" s="96"/>
    </x:row>
    <x:row r="203" ht="15" hidden="0" customHeight="1">
      <x:c r="A203" s="92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106"/>
      <x:c r="N203" s="96"/>
    </x:row>
    <x:row r="204" ht="15" hidden="0" customHeight="1">
      <x:c r="A204" s="92"/>
      <x:c r="B204" s="95"/>
      <x:c r="C204" s="95"/>
      <x:c r="D204" s="95"/>
      <x:c r="E204" s="95"/>
      <x:c r="F204" s="95"/>
      <x:c r="G204" s="95"/>
      <x:c r="H204" s="95"/>
      <x:c r="I204" s="95"/>
      <x:c r="J204" s="95"/>
      <x:c r="K204" s="95"/>
      <x:c r="L204" s="95"/>
      <x:c r="M204" s="106"/>
      <x:c r="N204" s="96"/>
    </x:row>
    <x:row r="205" ht="15" hidden="0" customHeight="1">
      <x:c r="A205" s="97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7"/>
      <x:c r="N205" s="101"/>
    </x:row>
  </x:sheetData>
  <x:mergeCells>
    <x:mergeCell ref="A1:N1"/>
    <x:mergeCell ref="A3:N3"/>
  </x:mergeCells>
  <x:conditionalFormatting sqref="J6:J205">
    <x:cfRule type="containsText" dxfId="10" priority="1" operator="containsText" text="Pasó"/>
    <x:cfRule type="containsText" dxfId="11" priority="2" operator="containsText" text="Aprobada"/>
    <x:cfRule type="containsText" dxfId="12" priority="3" operator="containsText" text="Falló"/>
    <x:cfRule type="containsText" dxfId="13" priority="4" operator="containsText" text="Bloqueado"/>
    <x:cfRule type="containsText" dxfId="14" priority="5" operator="containsText" text="Requiere aclaración"/>
  </x:conditionalFormatting>
  <x:dataValidations count="3">
    <x:dataValidation type="list" sqref="E6:E205">
      <x:formula1>"Positivo,Negativo,Validación,Borde,Funcional,Permisos,Regresión,Interfaz,Datos"</x:formula1>
    </x:dataValidation>
    <x:dataValidation type="list" sqref="J6:J205">
      <x:formula1>"Pendiente,Pasó,Falló,Bloqueado,No aplica"</x:formula1>
    </x:dataValidation>
    <x:dataValidation type="list" sqref="L6:L205">
      <x:formula1>"Crítica,Alta,Media,Baja"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114f43f97f48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1.25" hidden="0" customWidth="1"/>
    <x:col min="3" max="3" width="10.630000114440918" hidden="0" customWidth="1"/>
    <x:col min="4" max="4" width="15.630000114440918" hidden="0" customWidth="1"/>
    <x:col min="5" max="5" width="28.75" hidden="0" customWidth="1"/>
    <x:col min="6" max="6" width="35" hidden="0" customWidth="1"/>
    <x:col min="7" max="7" width="41.25" hidden="0" customWidth="1"/>
    <x:col min="8" max="8" width="32.5" hidden="0" customWidth="1"/>
    <x:col min="9" max="9" width="32.5" hidden="0" customWidth="1"/>
    <x:col min="10" max="10" width="11.880000114440918" hidden="0" customWidth="1"/>
    <x:col min="11" max="11" width="14.380000114440918" hidden="0" customWidth="1"/>
    <x:col min="12" max="12" width="11.880000114440918" hidden="0" customWidth="1"/>
    <x:col min="13" max="13" width="30" hidden="0" customWidth="1"/>
    <x:col min="14" max="14" width="13.75" hidden="0" customWidth="1"/>
    <x:col min="15" max="15" width="13.75" hidden="0" customWidth="1"/>
  </x:cols>
  <x:sheetData>
    <x:row r="1" ht="19.200000762939453" hidden="0" customHeight="1">
      <x:c r="A1" s="81" t="str">
        <x:v>Registro de Bugs - Sprint 2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</x:row>
    <x:row r="2" ht="15" hidden="0" customHeight="1">
      <x:c r="A2" s="82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</x:row>
    <x:row r="3" ht="15" hidden="0" customHeight="1">
      <x:c r="A3" s="83" t="str">
        <x:v>Registra aquí cualquier falla encontrada. Para este sprint, captura errores de datos hardcodeados, backend no llamado, filtros incorrectos o UI que no actualiza.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15" hidden="0" customHeight="1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</x:row>
    <x:row r="5" ht="15" hidden="0" customHeight="1">
      <x:c r="A5" s="84" t="str">
        <x:v>ID Bug</x:v>
      </x:c>
      <x:c r="B5" s="86" t="str">
        <x:v>ID Historia</x:v>
      </x:c>
      <x:c r="C5" s="86" t="str">
        <x:v>ID Caso</x:v>
      </x:c>
      <x:c r="D5" s="86" t="str">
        <x:v>Módulo</x:v>
      </x:c>
      <x:c r="E5" s="86" t="str">
        <x:v>Título</x:v>
      </x:c>
      <x:c r="F5" s="86" t="str">
        <x:v>Descripción</x:v>
      </x:c>
      <x:c r="G5" s="86" t="str">
        <x:v>Pasos para reproducir</x:v>
      </x:c>
      <x:c r="H5" s="86" t="str">
        <x:v>Resultado esperado</x:v>
      </x:c>
      <x:c r="I5" s="86" t="str">
        <x:v>Resultado actual</x:v>
      </x:c>
      <x:c r="J5" s="86" t="str">
        <x:v>Severidad</x:v>
      </x:c>
      <x:c r="K5" s="86" t="str">
        <x:v>Estado</x:v>
      </x:c>
      <x:c r="L5" s="86" t="str">
        <x:v>Prioridad</x:v>
      </x:c>
      <x:c r="M5" s="86" t="str">
        <x:v>Evidencia</x:v>
      </x:c>
      <x:c r="N5" s="86" t="str">
        <x:v>Fecha reporte</x:v>
      </x:c>
      <x:c r="O5" s="85" t="str">
        <x:v>Fecha cierre</x:v>
      </x:c>
    </x:row>
    <x:row r="6" ht="15" hidden="0" customHeight="1">
      <x:c r="A6" s="87" t="str"/>
      <x:c r="B6" s="90" t="str"/>
      <x:c r="C6" s="90" t="str"/>
      <x:c r="D6" s="90" t="str"/>
      <x:c r="E6" s="90" t="str"/>
      <x:c r="F6" s="90" t="str"/>
      <x:c r="G6" s="90" t="str"/>
      <x:c r="H6" s="90" t="str"/>
      <x:c r="I6" s="90" t="str"/>
      <x:c r="J6" s="90" t="str"/>
      <x:c r="K6" s="90" t="str"/>
      <x:c r="L6" s="90" t="str"/>
      <x:c r="M6" s="90" t="str"/>
      <x:c r="N6" s="105"/>
      <x:c r="O6" s="108"/>
    </x:row>
    <x:row r="7" ht="15" hidden="0" customHeight="1">
      <x:c r="A7" s="92" t="str"/>
      <x:c r="B7" s="95" t="str"/>
      <x:c r="C7" s="95" t="str"/>
      <x:c r="D7" s="95" t="str"/>
      <x:c r="E7" s="95" t="str"/>
      <x:c r="F7" s="95" t="str"/>
      <x:c r="G7" s="95" t="str"/>
      <x:c r="H7" s="95" t="str"/>
      <x:c r="I7" s="95" t="str"/>
      <x:c r="J7" s="95" t="str"/>
      <x:c r="K7" s="95" t="str"/>
      <x:c r="L7" s="95" t="str"/>
      <x:c r="M7" s="95" t="str"/>
      <x:c r="N7" s="106"/>
      <x:c r="O7" s="109"/>
    </x:row>
    <x:row r="8" ht="15" hidden="0" customHeight="1">
      <x:c r="A8" s="92" t="str"/>
      <x:c r="B8" s="95" t="str"/>
      <x:c r="C8" s="95" t="str"/>
      <x:c r="D8" s="95" t="str"/>
      <x:c r="E8" s="95" t="str"/>
      <x:c r="F8" s="95" t="str"/>
      <x:c r="G8" s="95" t="str"/>
      <x:c r="H8" s="95" t="str"/>
      <x:c r="I8" s="95" t="str"/>
      <x:c r="J8" s="95" t="str"/>
      <x:c r="K8" s="95" t="str"/>
      <x:c r="L8" s="95" t="str"/>
      <x:c r="M8" s="95" t="str"/>
      <x:c r="N8" s="106"/>
      <x:c r="O8" s="109"/>
    </x:row>
    <x:row r="9" ht="15" hidden="0" customHeight="1">
      <x:c r="A9" s="92"/>
      <x:c r="B9" s="95"/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106"/>
      <x:c r="O9" s="109"/>
    </x:row>
    <x:row r="10" ht="15" hidden="0" customHeight="1">
      <x:c r="A10" s="92"/>
      <x:c r="B10" s="95"/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106"/>
      <x:c r="O10" s="109"/>
    </x:row>
    <x:row r="11" ht="15" hidden="0" customHeight="1">
      <x:c r="A11" s="92"/>
      <x:c r="B11" s="95"/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106"/>
      <x:c r="O11" s="109"/>
    </x:row>
    <x:row r="12" ht="15" hidden="0" customHeight="1">
      <x:c r="A12" s="92"/>
      <x:c r="B12" s="95"/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106"/>
      <x:c r="O12" s="109"/>
    </x:row>
    <x:row r="13" ht="15" hidden="0" customHeight="1">
      <x:c r="A13" s="92"/>
      <x:c r="B13" s="95"/>
      <x:c r="C13" s="95"/>
      <x:c r="D13" s="95"/>
      <x:c r="E13" s="95"/>
      <x:c r="F13" s="95"/>
      <x:c r="G13" s="95"/>
      <x:c r="H13" s="95"/>
      <x:c r="I13" s="95"/>
      <x:c r="J13" s="95"/>
      <x:c r="K13" s="95"/>
      <x:c r="L13" s="95"/>
      <x:c r="M13" s="95"/>
      <x:c r="N13" s="106"/>
      <x:c r="O13" s="109"/>
    </x:row>
    <x:row r="14" ht="15" hidden="0" customHeight="1">
      <x:c r="A14" s="92"/>
      <x:c r="B14" s="95"/>
      <x:c r="C14" s="95"/>
      <x:c r="D14" s="95"/>
      <x:c r="E14" s="95"/>
      <x:c r="F14" s="95"/>
      <x:c r="G14" s="95"/>
      <x:c r="H14" s="95"/>
      <x:c r="I14" s="95"/>
      <x:c r="J14" s="95"/>
      <x:c r="K14" s="95"/>
      <x:c r="L14" s="95"/>
      <x:c r="M14" s="95"/>
      <x:c r="N14" s="106"/>
      <x:c r="O14" s="109"/>
    </x:row>
    <x:row r="15" ht="15" hidden="0" customHeight="1">
      <x:c r="A15" s="92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106"/>
      <x:c r="O15" s="109"/>
    </x:row>
    <x:row r="16" ht="15" hidden="0" customHeight="1">
      <x:c r="A16" s="92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106"/>
      <x:c r="O16" s="109"/>
    </x:row>
    <x:row r="17" ht="15" hidden="0" customHeight="1">
      <x:c r="A17" s="92"/>
      <x:c r="B17" s="95"/>
      <x:c r="C17" s="95"/>
      <x:c r="D17" s="95"/>
      <x:c r="E17" s="95"/>
      <x:c r="F17" s="95"/>
      <x:c r="G17" s="95"/>
      <x:c r="H17" s="95"/>
      <x:c r="I17" s="95"/>
      <x:c r="J17" s="95"/>
      <x:c r="K17" s="95"/>
      <x:c r="L17" s="95"/>
      <x:c r="M17" s="95"/>
      <x:c r="N17" s="106"/>
      <x:c r="O17" s="109"/>
    </x:row>
    <x:row r="18" ht="15" hidden="0" customHeight="1">
      <x:c r="A18" s="92"/>
      <x:c r="B18" s="95"/>
      <x:c r="C18" s="95"/>
      <x:c r="D18" s="95"/>
      <x:c r="E18" s="95"/>
      <x:c r="F18" s="95"/>
      <x:c r="G18" s="95"/>
      <x:c r="H18" s="95"/>
      <x:c r="I18" s="95"/>
      <x:c r="J18" s="95"/>
      <x:c r="K18" s="95"/>
      <x:c r="L18" s="95"/>
      <x:c r="M18" s="95"/>
      <x:c r="N18" s="106"/>
      <x:c r="O18" s="109"/>
    </x:row>
    <x:row r="19" ht="15" hidden="0" customHeight="1">
      <x:c r="A19" s="92"/>
      <x:c r="B19" s="95"/>
      <x:c r="C19" s="95"/>
      <x:c r="D19" s="95"/>
      <x:c r="E19" s="95"/>
      <x:c r="F19" s="95"/>
      <x:c r="G19" s="95"/>
      <x:c r="H19" s="95"/>
      <x:c r="I19" s="95"/>
      <x:c r="J19" s="95"/>
      <x:c r="K19" s="95"/>
      <x:c r="L19" s="95"/>
      <x:c r="M19" s="95"/>
      <x:c r="N19" s="106"/>
      <x:c r="O19" s="109"/>
    </x:row>
    <x:row r="20" ht="15" hidden="0" customHeight="1">
      <x:c r="A20" s="92"/>
      <x:c r="B20" s="95"/>
      <x:c r="C20" s="95"/>
      <x:c r="D20" s="95"/>
      <x:c r="E20" s="95"/>
      <x:c r="F20" s="95"/>
      <x:c r="G20" s="95"/>
      <x:c r="H20" s="95"/>
      <x:c r="I20" s="95"/>
      <x:c r="J20" s="95"/>
      <x:c r="K20" s="95"/>
      <x:c r="L20" s="95"/>
      <x:c r="M20" s="95"/>
      <x:c r="N20" s="106"/>
      <x:c r="O20" s="109"/>
    </x:row>
    <x:row r="21" ht="15" hidden="0" customHeight="1">
      <x:c r="A21" s="92"/>
      <x:c r="B21" s="95"/>
      <x:c r="C21" s="95"/>
      <x:c r="D21" s="95"/>
      <x:c r="E21" s="95"/>
      <x:c r="F21" s="95"/>
      <x:c r="G21" s="95"/>
      <x:c r="H21" s="95"/>
      <x:c r="I21" s="95"/>
      <x:c r="J21" s="95"/>
      <x:c r="K21" s="95"/>
      <x:c r="L21" s="95"/>
      <x:c r="M21" s="95"/>
      <x:c r="N21" s="106"/>
      <x:c r="O21" s="109"/>
    </x:row>
    <x:row r="22" ht="15" hidden="0" customHeight="1">
      <x:c r="A22" s="92"/>
      <x:c r="B22" s="95"/>
      <x:c r="C22" s="95"/>
      <x:c r="D22" s="95"/>
      <x:c r="E22" s="95"/>
      <x:c r="F22" s="95"/>
      <x:c r="G22" s="95"/>
      <x:c r="H22" s="95"/>
      <x:c r="I22" s="95"/>
      <x:c r="J22" s="95"/>
      <x:c r="K22" s="95"/>
      <x:c r="L22" s="95"/>
      <x:c r="M22" s="95"/>
      <x:c r="N22" s="106"/>
      <x:c r="O22" s="109"/>
    </x:row>
    <x:row r="23" ht="15" hidden="0" customHeight="1">
      <x:c r="A23" s="92"/>
      <x:c r="B23" s="95"/>
      <x:c r="C23" s="95"/>
      <x:c r="D23" s="95"/>
      <x:c r="E23" s="95"/>
      <x:c r="F23" s="95"/>
      <x:c r="G23" s="95"/>
      <x:c r="H23" s="95"/>
      <x:c r="I23" s="95"/>
      <x:c r="J23" s="95"/>
      <x:c r="K23" s="95"/>
      <x:c r="L23" s="95"/>
      <x:c r="M23" s="95"/>
      <x:c r="N23" s="106"/>
      <x:c r="O23" s="109"/>
    </x:row>
    <x:row r="24" ht="15" hidden="0" customHeight="1">
      <x:c r="A24" s="92"/>
      <x:c r="B24" s="95"/>
      <x:c r="C24" s="95"/>
      <x:c r="D24" s="95"/>
      <x:c r="E24" s="95"/>
      <x:c r="F24" s="95"/>
      <x:c r="G24" s="95"/>
      <x:c r="H24" s="95"/>
      <x:c r="I24" s="95"/>
      <x:c r="J24" s="95"/>
      <x:c r="K24" s="95"/>
      <x:c r="L24" s="95"/>
      <x:c r="M24" s="95"/>
      <x:c r="N24" s="106"/>
      <x:c r="O24" s="109"/>
    </x:row>
    <x:row r="25" ht="15" hidden="0" customHeight="1">
      <x:c r="A25" s="92"/>
      <x:c r="B25" s="95"/>
      <x:c r="C25" s="95"/>
      <x:c r="D25" s="95"/>
      <x:c r="E25" s="95"/>
      <x:c r="F25" s="95"/>
      <x:c r="G25" s="95"/>
      <x:c r="H25" s="95"/>
      <x:c r="I25" s="95"/>
      <x:c r="J25" s="95"/>
      <x:c r="K25" s="95"/>
      <x:c r="L25" s="95"/>
      <x:c r="M25" s="95"/>
      <x:c r="N25" s="106"/>
      <x:c r="O25" s="109"/>
    </x:row>
    <x:row r="26" ht="15" hidden="0" customHeight="1">
      <x:c r="A26" s="92"/>
      <x:c r="B26" s="95"/>
      <x:c r="C26" s="95"/>
      <x:c r="D26" s="95"/>
      <x:c r="E26" s="95"/>
      <x:c r="F26" s="95"/>
      <x:c r="G26" s="95"/>
      <x:c r="H26" s="95"/>
      <x:c r="I26" s="95"/>
      <x:c r="J26" s="95"/>
      <x:c r="K26" s="95"/>
      <x:c r="L26" s="95"/>
      <x:c r="M26" s="95"/>
      <x:c r="N26" s="106"/>
      <x:c r="O26" s="109"/>
    </x:row>
    <x:row r="27" ht="15" hidden="0" customHeight="1">
      <x:c r="A27" s="92"/>
      <x:c r="B27" s="95"/>
      <x:c r="C27" s="95"/>
      <x:c r="D27" s="95"/>
      <x:c r="E27" s="95"/>
      <x:c r="F27" s="95"/>
      <x:c r="G27" s="95"/>
      <x:c r="H27" s="95"/>
      <x:c r="I27" s="95"/>
      <x:c r="J27" s="95"/>
      <x:c r="K27" s="95"/>
      <x:c r="L27" s="95"/>
      <x:c r="M27" s="95"/>
      <x:c r="N27" s="106"/>
      <x:c r="O27" s="109"/>
    </x:row>
    <x:row r="28" ht="15" hidden="0" customHeight="1">
      <x:c r="A28" s="92"/>
      <x:c r="B28" s="95"/>
      <x:c r="C28" s="95"/>
      <x:c r="D28" s="95"/>
      <x:c r="E28" s="95"/>
      <x:c r="F28" s="95"/>
      <x:c r="G28" s="95"/>
      <x:c r="H28" s="95"/>
      <x:c r="I28" s="95"/>
      <x:c r="J28" s="95"/>
      <x:c r="K28" s="95"/>
      <x:c r="L28" s="95"/>
      <x:c r="M28" s="95"/>
      <x:c r="N28" s="106"/>
      <x:c r="O28" s="109"/>
    </x:row>
    <x:row r="29" ht="15" hidden="0" customHeight="1">
      <x:c r="A29" s="92"/>
      <x:c r="B29" s="95"/>
      <x:c r="C29" s="95"/>
      <x:c r="D29" s="95"/>
      <x:c r="E29" s="95"/>
      <x:c r="F29" s="95"/>
      <x:c r="G29" s="95"/>
      <x:c r="H29" s="95"/>
      <x:c r="I29" s="95"/>
      <x:c r="J29" s="95"/>
      <x:c r="K29" s="95"/>
      <x:c r="L29" s="95"/>
      <x:c r="M29" s="95"/>
      <x:c r="N29" s="106"/>
      <x:c r="O29" s="109"/>
    </x:row>
    <x:row r="30" ht="15" hidden="0" customHeight="1">
      <x:c r="A30" s="92"/>
      <x:c r="B30" s="95"/>
      <x:c r="C30" s="95"/>
      <x:c r="D30" s="95"/>
      <x:c r="E30" s="95"/>
      <x:c r="F30" s="95"/>
      <x:c r="G30" s="95"/>
      <x:c r="H30" s="95"/>
      <x:c r="I30" s="95"/>
      <x:c r="J30" s="95"/>
      <x:c r="K30" s="95"/>
      <x:c r="L30" s="95"/>
      <x:c r="M30" s="95"/>
      <x:c r="N30" s="106"/>
      <x:c r="O30" s="109"/>
    </x:row>
    <x:row r="31" ht="15" hidden="0" customHeight="1">
      <x:c r="A31" s="92"/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106"/>
      <x:c r="O31" s="109"/>
    </x:row>
    <x:row r="32" ht="15" hidden="0" customHeight="1">
      <x:c r="A32" s="92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106"/>
      <x:c r="O32" s="109"/>
    </x:row>
    <x:row r="33" ht="15" hidden="0" customHeight="1">
      <x:c r="A33" s="92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106"/>
      <x:c r="O33" s="109"/>
    </x:row>
    <x:row r="34" ht="15" hidden="0" customHeight="1">
      <x:c r="A34" s="92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106"/>
      <x:c r="O34" s="109"/>
    </x:row>
    <x:row r="35" ht="15" hidden="0" customHeight="1">
      <x:c r="A35" s="92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106"/>
      <x:c r="O35" s="109"/>
    </x:row>
    <x:row r="36" ht="15" hidden="0" customHeight="1">
      <x:c r="A36" s="92"/>
      <x:c r="B36" s="95"/>
      <x:c r="C36" s="95"/>
      <x:c r="D36" s="95"/>
      <x:c r="E36" s="95"/>
      <x:c r="F36" s="95"/>
      <x:c r="G36" s="95"/>
      <x:c r="H36" s="95"/>
      <x:c r="I36" s="95"/>
      <x:c r="J36" s="95"/>
      <x:c r="K36" s="95"/>
      <x:c r="L36" s="95"/>
      <x:c r="M36" s="95"/>
      <x:c r="N36" s="106"/>
      <x:c r="O36" s="109"/>
    </x:row>
    <x:row r="37" ht="15" hidden="0" customHeight="1">
      <x:c r="A37" s="92"/>
      <x:c r="B37" s="95"/>
      <x:c r="C37" s="95"/>
      <x:c r="D37" s="95"/>
      <x:c r="E37" s="95"/>
      <x:c r="F37" s="95"/>
      <x:c r="G37" s="95"/>
      <x:c r="H37" s="95"/>
      <x:c r="I37" s="95"/>
      <x:c r="J37" s="95"/>
      <x:c r="K37" s="95"/>
      <x:c r="L37" s="95"/>
      <x:c r="M37" s="95"/>
      <x:c r="N37" s="106"/>
      <x:c r="O37" s="109"/>
    </x:row>
    <x:row r="38" ht="15" hidden="0" customHeight="1">
      <x:c r="A38" s="92"/>
      <x:c r="B38" s="95"/>
      <x:c r="C38" s="95"/>
      <x:c r="D38" s="95"/>
      <x:c r="E38" s="95"/>
      <x:c r="F38" s="95"/>
      <x:c r="G38" s="95"/>
      <x:c r="H38" s="95"/>
      <x:c r="I38" s="95"/>
      <x:c r="J38" s="95"/>
      <x:c r="K38" s="95"/>
      <x:c r="L38" s="95"/>
      <x:c r="M38" s="95"/>
      <x:c r="N38" s="106"/>
      <x:c r="O38" s="109"/>
    </x:row>
    <x:row r="39" ht="15" hidden="0" customHeight="1">
      <x:c r="A39" s="92"/>
      <x:c r="B39" s="95"/>
      <x:c r="C39" s="95"/>
      <x:c r="D39" s="95"/>
      <x:c r="E39" s="95"/>
      <x:c r="F39" s="95"/>
      <x:c r="G39" s="95"/>
      <x:c r="H39" s="95"/>
      <x:c r="I39" s="95"/>
      <x:c r="J39" s="95"/>
      <x:c r="K39" s="95"/>
      <x:c r="L39" s="95"/>
      <x:c r="M39" s="95"/>
      <x:c r="N39" s="106"/>
      <x:c r="O39" s="109"/>
    </x:row>
    <x:row r="40" ht="15" hidden="0" customHeight="1">
      <x:c r="A40" s="92"/>
      <x:c r="B40" s="95"/>
      <x:c r="C40" s="95"/>
      <x:c r="D40" s="95"/>
      <x:c r="E40" s="95"/>
      <x:c r="F40" s="95"/>
      <x:c r="G40" s="95"/>
      <x:c r="H40" s="95"/>
      <x:c r="I40" s="95"/>
      <x:c r="J40" s="95"/>
      <x:c r="K40" s="95"/>
      <x:c r="L40" s="95"/>
      <x:c r="M40" s="95"/>
      <x:c r="N40" s="106"/>
      <x:c r="O40" s="109"/>
    </x:row>
    <x:row r="41" ht="15" hidden="0" customHeight="1">
      <x:c r="A41" s="92"/>
      <x:c r="B41" s="95"/>
      <x:c r="C41" s="95"/>
      <x:c r="D41" s="95"/>
      <x:c r="E41" s="95"/>
      <x:c r="F41" s="95"/>
      <x:c r="G41" s="95"/>
      <x:c r="H41" s="95"/>
      <x:c r="I41" s="95"/>
      <x:c r="J41" s="95"/>
      <x:c r="K41" s="95"/>
      <x:c r="L41" s="95"/>
      <x:c r="M41" s="95"/>
      <x:c r="N41" s="106"/>
      <x:c r="O41" s="109"/>
    </x:row>
    <x:row r="42" ht="15" hidden="0" customHeight="1">
      <x:c r="A42" s="92"/>
      <x:c r="B42" s="95"/>
      <x:c r="C42" s="95"/>
      <x:c r="D42" s="95"/>
      <x:c r="E42" s="95"/>
      <x:c r="F42" s="95"/>
      <x:c r="G42" s="95"/>
      <x:c r="H42" s="95"/>
      <x:c r="I42" s="95"/>
      <x:c r="J42" s="95"/>
      <x:c r="K42" s="95"/>
      <x:c r="L42" s="95"/>
      <x:c r="M42" s="95"/>
      <x:c r="N42" s="106"/>
      <x:c r="O42" s="109"/>
    </x:row>
    <x:row r="43" ht="15" hidden="0" customHeight="1">
      <x:c r="A43" s="92"/>
      <x:c r="B43" s="95"/>
      <x:c r="C43" s="95"/>
      <x:c r="D43" s="95"/>
      <x:c r="E43" s="95"/>
      <x:c r="F43" s="95"/>
      <x:c r="G43" s="95"/>
      <x:c r="H43" s="95"/>
      <x:c r="I43" s="95"/>
      <x:c r="J43" s="95"/>
      <x:c r="K43" s="95"/>
      <x:c r="L43" s="95"/>
      <x:c r="M43" s="95"/>
      <x:c r="N43" s="106"/>
      <x:c r="O43" s="109"/>
    </x:row>
    <x:row r="44" ht="15" hidden="0" customHeight="1">
      <x:c r="A44" s="92"/>
      <x:c r="B44" s="95"/>
      <x:c r="C44" s="95"/>
      <x:c r="D44" s="95"/>
      <x:c r="E44" s="95"/>
      <x:c r="F44" s="95"/>
      <x:c r="G44" s="95"/>
      <x:c r="H44" s="95"/>
      <x:c r="I44" s="95"/>
      <x:c r="J44" s="95"/>
      <x:c r="K44" s="95"/>
      <x:c r="L44" s="95"/>
      <x:c r="M44" s="95"/>
      <x:c r="N44" s="106"/>
      <x:c r="O44" s="109"/>
    </x:row>
    <x:row r="45" ht="15" hidden="0" customHeight="1">
      <x:c r="A45" s="92"/>
      <x:c r="B45" s="95"/>
      <x:c r="C45" s="95"/>
      <x:c r="D45" s="95"/>
      <x:c r="E45" s="95"/>
      <x:c r="F45" s="95"/>
      <x:c r="G45" s="95"/>
      <x:c r="H45" s="95"/>
      <x:c r="I45" s="95"/>
      <x:c r="J45" s="95"/>
      <x:c r="K45" s="95"/>
      <x:c r="L45" s="95"/>
      <x:c r="M45" s="95"/>
      <x:c r="N45" s="106"/>
      <x:c r="O45" s="109"/>
    </x:row>
    <x:row r="46" ht="15" hidden="0" customHeight="1">
      <x:c r="A46" s="92"/>
      <x:c r="B46" s="95"/>
      <x:c r="C46" s="95"/>
      <x:c r="D46" s="95"/>
      <x:c r="E46" s="95"/>
      <x:c r="F46" s="95"/>
      <x:c r="G46" s="95"/>
      <x:c r="H46" s="95"/>
      <x:c r="I46" s="95"/>
      <x:c r="J46" s="95"/>
      <x:c r="K46" s="95"/>
      <x:c r="L46" s="95"/>
      <x:c r="M46" s="95"/>
      <x:c r="N46" s="106"/>
      <x:c r="O46" s="109"/>
    </x:row>
    <x:row r="47" ht="15" hidden="0" customHeight="1">
      <x:c r="A47" s="92"/>
      <x:c r="B47" s="95"/>
      <x:c r="C47" s="95"/>
      <x:c r="D47" s="95"/>
      <x:c r="E47" s="95"/>
      <x:c r="F47" s="95"/>
      <x:c r="G47" s="95"/>
      <x:c r="H47" s="95"/>
      <x:c r="I47" s="95"/>
      <x:c r="J47" s="95"/>
      <x:c r="K47" s="95"/>
      <x:c r="L47" s="95"/>
      <x:c r="M47" s="95"/>
      <x:c r="N47" s="106"/>
      <x:c r="O47" s="109"/>
    </x:row>
    <x:row r="48" ht="15" hidden="0" customHeight="1">
      <x:c r="A48" s="92"/>
      <x:c r="B48" s="95"/>
      <x:c r="C48" s="95"/>
      <x:c r="D48" s="95"/>
      <x:c r="E48" s="95"/>
      <x:c r="F48" s="95"/>
      <x:c r="G48" s="95"/>
      <x:c r="H48" s="95"/>
      <x:c r="I48" s="95"/>
      <x:c r="J48" s="95"/>
      <x:c r="K48" s="95"/>
      <x:c r="L48" s="95"/>
      <x:c r="M48" s="95"/>
      <x:c r="N48" s="106"/>
      <x:c r="O48" s="109"/>
    </x:row>
    <x:row r="49" ht="15" hidden="0" customHeight="1">
      <x:c r="A49" s="92"/>
      <x:c r="B49" s="95"/>
      <x:c r="C49" s="95"/>
      <x:c r="D49" s="95"/>
      <x:c r="E49" s="95"/>
      <x:c r="F49" s="95"/>
      <x:c r="G49" s="95"/>
      <x:c r="H49" s="95"/>
      <x:c r="I49" s="95"/>
      <x:c r="J49" s="95"/>
      <x:c r="K49" s="95"/>
      <x:c r="L49" s="95"/>
      <x:c r="M49" s="95"/>
      <x:c r="N49" s="106"/>
      <x:c r="O49" s="109"/>
    </x:row>
    <x:row r="50" ht="15" hidden="0" customHeight="1">
      <x:c r="A50" s="92"/>
      <x:c r="B50" s="95"/>
      <x:c r="C50" s="95"/>
      <x:c r="D50" s="95"/>
      <x:c r="E50" s="95"/>
      <x:c r="F50" s="95"/>
      <x:c r="G50" s="95"/>
      <x:c r="H50" s="95"/>
      <x:c r="I50" s="95"/>
      <x:c r="J50" s="95"/>
      <x:c r="K50" s="95"/>
      <x:c r="L50" s="95"/>
      <x:c r="M50" s="95"/>
      <x:c r="N50" s="106"/>
      <x:c r="O50" s="109"/>
    </x:row>
    <x:row r="51" ht="15" hidden="0" customHeight="1">
      <x:c r="A51" s="92"/>
      <x:c r="B51" s="95"/>
      <x:c r="C51" s="95"/>
      <x:c r="D51" s="95"/>
      <x:c r="E51" s="95"/>
      <x:c r="F51" s="95"/>
      <x:c r="G51" s="95"/>
      <x:c r="H51" s="95"/>
      <x:c r="I51" s="95"/>
      <x:c r="J51" s="95"/>
      <x:c r="K51" s="95"/>
      <x:c r="L51" s="95"/>
      <x:c r="M51" s="95"/>
      <x:c r="N51" s="106"/>
      <x:c r="O51" s="109"/>
    </x:row>
    <x:row r="52" ht="15" hidden="0" customHeight="1">
      <x:c r="A52" s="92"/>
      <x:c r="B52" s="95"/>
      <x:c r="C52" s="95"/>
      <x:c r="D52" s="95"/>
      <x:c r="E52" s="95"/>
      <x:c r="F52" s="95"/>
      <x:c r="G52" s="95"/>
      <x:c r="H52" s="95"/>
      <x:c r="I52" s="95"/>
      <x:c r="J52" s="95"/>
      <x:c r="K52" s="95"/>
      <x:c r="L52" s="95"/>
      <x:c r="M52" s="95"/>
      <x:c r="N52" s="106"/>
      <x:c r="O52" s="109"/>
    </x:row>
    <x:row r="53" ht="15" hidden="0" customHeight="1">
      <x:c r="A53" s="92"/>
      <x:c r="B53" s="95"/>
      <x:c r="C53" s="95"/>
      <x:c r="D53" s="95"/>
      <x:c r="E53" s="95"/>
      <x:c r="F53" s="95"/>
      <x:c r="G53" s="95"/>
      <x:c r="H53" s="95"/>
      <x:c r="I53" s="95"/>
      <x:c r="J53" s="95"/>
      <x:c r="K53" s="95"/>
      <x:c r="L53" s="95"/>
      <x:c r="M53" s="95"/>
      <x:c r="N53" s="106"/>
      <x:c r="O53" s="109"/>
    </x:row>
    <x:row r="54" ht="15" hidden="0" customHeight="1">
      <x:c r="A54" s="92"/>
      <x:c r="B54" s="95"/>
      <x:c r="C54" s="95"/>
      <x:c r="D54" s="95"/>
      <x:c r="E54" s="95"/>
      <x:c r="F54" s="95"/>
      <x:c r="G54" s="95"/>
      <x:c r="H54" s="95"/>
      <x:c r="I54" s="95"/>
      <x:c r="J54" s="95"/>
      <x:c r="K54" s="95"/>
      <x:c r="L54" s="95"/>
      <x:c r="M54" s="95"/>
      <x:c r="N54" s="106"/>
      <x:c r="O54" s="109"/>
    </x:row>
    <x:row r="55" ht="15" hidden="0" customHeight="1">
      <x:c r="A55" s="92"/>
      <x:c r="B55" s="95"/>
      <x:c r="C55" s="95"/>
      <x:c r="D55" s="95"/>
      <x:c r="E55" s="95"/>
      <x:c r="F55" s="95"/>
      <x:c r="G55" s="95"/>
      <x:c r="H55" s="95"/>
      <x:c r="I55" s="95"/>
      <x:c r="J55" s="95"/>
      <x:c r="K55" s="95"/>
      <x:c r="L55" s="95"/>
      <x:c r="M55" s="95"/>
      <x:c r="N55" s="106"/>
      <x:c r="O55" s="109"/>
    </x:row>
    <x:row r="56" ht="15" hidden="0" customHeight="1">
      <x:c r="A56" s="92"/>
      <x:c r="B56" s="95"/>
      <x:c r="C56" s="95"/>
      <x:c r="D56" s="95"/>
      <x:c r="E56" s="95"/>
      <x:c r="F56" s="95"/>
      <x:c r="G56" s="95"/>
      <x:c r="H56" s="95"/>
      <x:c r="I56" s="95"/>
      <x:c r="J56" s="95"/>
      <x:c r="K56" s="95"/>
      <x:c r="L56" s="95"/>
      <x:c r="M56" s="95"/>
      <x:c r="N56" s="106"/>
      <x:c r="O56" s="109"/>
    </x:row>
    <x:row r="57" ht="15" hidden="0" customHeight="1">
      <x:c r="A57" s="92"/>
      <x:c r="B57" s="95"/>
      <x:c r="C57" s="95"/>
      <x:c r="D57" s="95"/>
      <x:c r="E57" s="95"/>
      <x:c r="F57" s="95"/>
      <x:c r="G57" s="95"/>
      <x:c r="H57" s="95"/>
      <x:c r="I57" s="95"/>
      <x:c r="J57" s="95"/>
      <x:c r="K57" s="95"/>
      <x:c r="L57" s="95"/>
      <x:c r="M57" s="95"/>
      <x:c r="N57" s="106"/>
      <x:c r="O57" s="109"/>
    </x:row>
    <x:row r="58" ht="15" hidden="0" customHeight="1">
      <x:c r="A58" s="92"/>
      <x:c r="B58" s="95"/>
      <x:c r="C58" s="95"/>
      <x:c r="D58" s="95"/>
      <x:c r="E58" s="95"/>
      <x:c r="F58" s="95"/>
      <x:c r="G58" s="95"/>
      <x:c r="H58" s="95"/>
      <x:c r="I58" s="95"/>
      <x:c r="J58" s="95"/>
      <x:c r="K58" s="95"/>
      <x:c r="L58" s="95"/>
      <x:c r="M58" s="95"/>
      <x:c r="N58" s="106"/>
      <x:c r="O58" s="109"/>
    </x:row>
    <x:row r="59" ht="15" hidden="0" customHeight="1">
      <x:c r="A59" s="92"/>
      <x:c r="B59" s="95"/>
      <x:c r="C59" s="95"/>
      <x:c r="D59" s="95"/>
      <x:c r="E59" s="95"/>
      <x:c r="F59" s="95"/>
      <x:c r="G59" s="95"/>
      <x:c r="H59" s="95"/>
      <x:c r="I59" s="95"/>
      <x:c r="J59" s="95"/>
      <x:c r="K59" s="95"/>
      <x:c r="L59" s="95"/>
      <x:c r="M59" s="95"/>
      <x:c r="N59" s="106"/>
      <x:c r="O59" s="109"/>
    </x:row>
    <x:row r="60" ht="15" hidden="0" customHeight="1">
      <x:c r="A60" s="92"/>
      <x:c r="B60" s="95"/>
      <x:c r="C60" s="95"/>
      <x:c r="D60" s="95"/>
      <x:c r="E60" s="95"/>
      <x:c r="F60" s="95"/>
      <x:c r="G60" s="95"/>
      <x:c r="H60" s="95"/>
      <x:c r="I60" s="95"/>
      <x:c r="J60" s="95"/>
      <x:c r="K60" s="95"/>
      <x:c r="L60" s="95"/>
      <x:c r="M60" s="95"/>
      <x:c r="N60" s="106"/>
      <x:c r="O60" s="109"/>
    </x:row>
    <x:row r="61" ht="15" hidden="0" customHeight="1">
      <x:c r="A61" s="92"/>
      <x:c r="B61" s="95"/>
      <x:c r="C61" s="95"/>
      <x:c r="D61" s="95"/>
      <x:c r="E61" s="95"/>
      <x:c r="F61" s="95"/>
      <x:c r="G61" s="95"/>
      <x:c r="H61" s="95"/>
      <x:c r="I61" s="95"/>
      <x:c r="J61" s="95"/>
      <x:c r="K61" s="95"/>
      <x:c r="L61" s="95"/>
      <x:c r="M61" s="95"/>
      <x:c r="N61" s="106"/>
      <x:c r="O61" s="109"/>
    </x:row>
    <x:row r="62" ht="15" hidden="0" customHeight="1">
      <x:c r="A62" s="92"/>
      <x:c r="B62" s="95"/>
      <x:c r="C62" s="95"/>
      <x:c r="D62" s="95"/>
      <x:c r="E62" s="95"/>
      <x:c r="F62" s="95"/>
      <x:c r="G62" s="95"/>
      <x:c r="H62" s="95"/>
      <x:c r="I62" s="95"/>
      <x:c r="J62" s="95"/>
      <x:c r="K62" s="95"/>
      <x:c r="L62" s="95"/>
      <x:c r="M62" s="95"/>
      <x:c r="N62" s="106"/>
      <x:c r="O62" s="109"/>
    </x:row>
    <x:row r="63" ht="15" hidden="0" customHeight="1">
      <x:c r="A63" s="92"/>
      <x:c r="B63" s="95"/>
      <x:c r="C63" s="95"/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106"/>
      <x:c r="O63" s="109"/>
    </x:row>
    <x:row r="64" ht="15" hidden="0" customHeight="1">
      <x:c r="A64" s="92"/>
      <x:c r="B64" s="95"/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106"/>
      <x:c r="O64" s="109"/>
    </x:row>
    <x:row r="65" ht="15" hidden="0" customHeight="1">
      <x:c r="A65" s="92"/>
      <x:c r="B65" s="95"/>
      <x:c r="C65" s="95"/>
      <x:c r="D65" s="95"/>
      <x:c r="E65" s="95"/>
      <x:c r="F65" s="95"/>
      <x:c r="G65" s="95"/>
      <x:c r="H65" s="95"/>
      <x:c r="I65" s="95"/>
      <x:c r="J65" s="95"/>
      <x:c r="K65" s="95"/>
      <x:c r="L65" s="95"/>
      <x:c r="M65" s="95"/>
      <x:c r="N65" s="106"/>
      <x:c r="O65" s="109"/>
    </x:row>
    <x:row r="66" ht="15" hidden="0" customHeight="1">
      <x:c r="A66" s="92"/>
      <x:c r="B66" s="95"/>
      <x:c r="C66" s="95"/>
      <x:c r="D66" s="95"/>
      <x:c r="E66" s="95"/>
      <x:c r="F66" s="95"/>
      <x:c r="G66" s="95"/>
      <x:c r="H66" s="95"/>
      <x:c r="I66" s="95"/>
      <x:c r="J66" s="95"/>
      <x:c r="K66" s="95"/>
      <x:c r="L66" s="95"/>
      <x:c r="M66" s="95"/>
      <x:c r="N66" s="106"/>
      <x:c r="O66" s="109"/>
    </x:row>
    <x:row r="67" ht="15" hidden="0" customHeight="1">
      <x:c r="A67" s="92"/>
      <x:c r="B67" s="95"/>
      <x:c r="C67" s="95"/>
      <x:c r="D67" s="95"/>
      <x:c r="E67" s="95"/>
      <x:c r="F67" s="95"/>
      <x:c r="G67" s="95"/>
      <x:c r="H67" s="95"/>
      <x:c r="I67" s="95"/>
      <x:c r="J67" s="95"/>
      <x:c r="K67" s="95"/>
      <x:c r="L67" s="95"/>
      <x:c r="M67" s="95"/>
      <x:c r="N67" s="106"/>
      <x:c r="O67" s="109"/>
    </x:row>
    <x:row r="68" ht="15" hidden="0" customHeight="1">
      <x:c r="A68" s="92"/>
      <x:c r="B68" s="95"/>
      <x:c r="C68" s="95"/>
      <x:c r="D68" s="95"/>
      <x:c r="E68" s="95"/>
      <x:c r="F68" s="95"/>
      <x:c r="G68" s="95"/>
      <x:c r="H68" s="95"/>
      <x:c r="I68" s="95"/>
      <x:c r="J68" s="95"/>
      <x:c r="K68" s="95"/>
      <x:c r="L68" s="95"/>
      <x:c r="M68" s="95"/>
      <x:c r="N68" s="106"/>
      <x:c r="O68" s="109"/>
    </x:row>
    <x:row r="69" ht="15" hidden="0" customHeight="1">
      <x:c r="A69" s="92"/>
      <x:c r="B69" s="95"/>
      <x:c r="C69" s="95"/>
      <x:c r="D69" s="95"/>
      <x:c r="E69" s="95"/>
      <x:c r="F69" s="95"/>
      <x:c r="G69" s="95"/>
      <x:c r="H69" s="95"/>
      <x:c r="I69" s="95"/>
      <x:c r="J69" s="95"/>
      <x:c r="K69" s="95"/>
      <x:c r="L69" s="95"/>
      <x:c r="M69" s="95"/>
      <x:c r="N69" s="106"/>
      <x:c r="O69" s="109"/>
    </x:row>
    <x:row r="70" ht="15" hidden="0" customHeight="1">
      <x:c r="A70" s="92"/>
      <x:c r="B70" s="95"/>
      <x:c r="C70" s="95"/>
      <x:c r="D70" s="95"/>
      <x:c r="E70" s="95"/>
      <x:c r="F70" s="95"/>
      <x:c r="G70" s="95"/>
      <x:c r="H70" s="95"/>
      <x:c r="I70" s="95"/>
      <x:c r="J70" s="95"/>
      <x:c r="K70" s="95"/>
      <x:c r="L70" s="95"/>
      <x:c r="M70" s="95"/>
      <x:c r="N70" s="106"/>
      <x:c r="O70" s="109"/>
    </x:row>
    <x:row r="71" ht="15" hidden="0" customHeight="1">
      <x:c r="A71" s="92"/>
      <x:c r="B71" s="95"/>
      <x:c r="C71" s="95"/>
      <x:c r="D71" s="95"/>
      <x:c r="E71" s="95"/>
      <x:c r="F71" s="95"/>
      <x:c r="G71" s="95"/>
      <x:c r="H71" s="95"/>
      <x:c r="I71" s="95"/>
      <x:c r="J71" s="95"/>
      <x:c r="K71" s="95"/>
      <x:c r="L71" s="95"/>
      <x:c r="M71" s="95"/>
      <x:c r="N71" s="106"/>
      <x:c r="O71" s="109"/>
    </x:row>
    <x:row r="72" ht="15" hidden="0" customHeight="1">
      <x:c r="A72" s="92"/>
      <x:c r="B72" s="95"/>
      <x:c r="C72" s="95"/>
      <x:c r="D72" s="95"/>
      <x:c r="E72" s="95"/>
      <x:c r="F72" s="95"/>
      <x:c r="G72" s="95"/>
      <x:c r="H72" s="95"/>
      <x:c r="I72" s="95"/>
      <x:c r="J72" s="95"/>
      <x:c r="K72" s="95"/>
      <x:c r="L72" s="95"/>
      <x:c r="M72" s="95"/>
      <x:c r="N72" s="106"/>
      <x:c r="O72" s="109"/>
    </x:row>
    <x:row r="73" ht="15" hidden="0" customHeight="1">
      <x:c r="A73" s="92"/>
      <x:c r="B73" s="95"/>
      <x:c r="C73" s="95"/>
      <x:c r="D73" s="95"/>
      <x:c r="E73" s="95"/>
      <x:c r="F73" s="95"/>
      <x:c r="G73" s="95"/>
      <x:c r="H73" s="95"/>
      <x:c r="I73" s="95"/>
      <x:c r="J73" s="95"/>
      <x:c r="K73" s="95"/>
      <x:c r="L73" s="95"/>
      <x:c r="M73" s="95"/>
      <x:c r="N73" s="106"/>
      <x:c r="O73" s="109"/>
    </x:row>
    <x:row r="74" ht="15" hidden="0" customHeight="1">
      <x:c r="A74" s="92"/>
      <x:c r="B74" s="95"/>
      <x:c r="C74" s="95"/>
      <x:c r="D74" s="95"/>
      <x:c r="E74" s="95"/>
      <x:c r="F74" s="95"/>
      <x:c r="G74" s="95"/>
      <x:c r="H74" s="95"/>
      <x:c r="I74" s="95"/>
      <x:c r="J74" s="95"/>
      <x:c r="K74" s="95"/>
      <x:c r="L74" s="95"/>
      <x:c r="M74" s="95"/>
      <x:c r="N74" s="106"/>
      <x:c r="O74" s="109"/>
    </x:row>
    <x:row r="75" ht="15" hidden="0" customHeight="1">
      <x:c r="A75" s="92"/>
      <x:c r="B75" s="95"/>
      <x:c r="C75" s="95"/>
      <x:c r="D75" s="95"/>
      <x:c r="E75" s="95"/>
      <x:c r="F75" s="95"/>
      <x:c r="G75" s="95"/>
      <x:c r="H75" s="95"/>
      <x:c r="I75" s="95"/>
      <x:c r="J75" s="95"/>
      <x:c r="K75" s="95"/>
      <x:c r="L75" s="95"/>
      <x:c r="M75" s="95"/>
      <x:c r="N75" s="106"/>
      <x:c r="O75" s="109"/>
    </x:row>
    <x:row r="76" ht="15" hidden="0" customHeight="1">
      <x:c r="A76" s="92"/>
      <x:c r="B76" s="95"/>
      <x:c r="C76" s="95"/>
      <x:c r="D76" s="95"/>
      <x:c r="E76" s="95"/>
      <x:c r="F76" s="95"/>
      <x:c r="G76" s="95"/>
      <x:c r="H76" s="95"/>
      <x:c r="I76" s="95"/>
      <x:c r="J76" s="95"/>
      <x:c r="K76" s="95"/>
      <x:c r="L76" s="95"/>
      <x:c r="M76" s="95"/>
      <x:c r="N76" s="106"/>
      <x:c r="O76" s="109"/>
    </x:row>
    <x:row r="77" ht="15" hidden="0" customHeight="1">
      <x:c r="A77" s="92"/>
      <x:c r="B77" s="95"/>
      <x:c r="C77" s="95"/>
      <x:c r="D77" s="95"/>
      <x:c r="E77" s="95"/>
      <x:c r="F77" s="95"/>
      <x:c r="G77" s="95"/>
      <x:c r="H77" s="95"/>
      <x:c r="I77" s="95"/>
      <x:c r="J77" s="95"/>
      <x:c r="K77" s="95"/>
      <x:c r="L77" s="95"/>
      <x:c r="M77" s="95"/>
      <x:c r="N77" s="106"/>
      <x:c r="O77" s="109"/>
    </x:row>
    <x:row r="78" ht="15" hidden="0" customHeight="1">
      <x:c r="A78" s="92"/>
      <x:c r="B78" s="95"/>
      <x:c r="C78" s="95"/>
      <x:c r="D78" s="95"/>
      <x:c r="E78" s="95"/>
      <x:c r="F78" s="95"/>
      <x:c r="G78" s="95"/>
      <x:c r="H78" s="95"/>
      <x:c r="I78" s="95"/>
      <x:c r="J78" s="95"/>
      <x:c r="K78" s="95"/>
      <x:c r="L78" s="95"/>
      <x:c r="M78" s="95"/>
      <x:c r="N78" s="106"/>
      <x:c r="O78" s="109"/>
    </x:row>
    <x:row r="79" ht="15" hidden="0" customHeight="1">
      <x:c r="A79" s="92"/>
      <x:c r="B79" s="95"/>
      <x:c r="C79" s="95"/>
      <x:c r="D79" s="95"/>
      <x:c r="E79" s="95"/>
      <x:c r="F79" s="95"/>
      <x:c r="G79" s="95"/>
      <x:c r="H79" s="95"/>
      <x:c r="I79" s="95"/>
      <x:c r="J79" s="95"/>
      <x:c r="K79" s="95"/>
      <x:c r="L79" s="95"/>
      <x:c r="M79" s="95"/>
      <x:c r="N79" s="106"/>
      <x:c r="O79" s="109"/>
    </x:row>
    <x:row r="80" ht="15" hidden="0" customHeight="1">
      <x:c r="A80" s="92"/>
      <x:c r="B80" s="95"/>
      <x:c r="C80" s="95"/>
      <x:c r="D80" s="95"/>
      <x:c r="E80" s="95"/>
      <x:c r="F80" s="95"/>
      <x:c r="G80" s="95"/>
      <x:c r="H80" s="95"/>
      <x:c r="I80" s="95"/>
      <x:c r="J80" s="95"/>
      <x:c r="K80" s="95"/>
      <x:c r="L80" s="95"/>
      <x:c r="M80" s="95"/>
      <x:c r="N80" s="106"/>
      <x:c r="O80" s="109"/>
    </x:row>
    <x:row r="81" ht="15" hidden="0" customHeight="1">
      <x:c r="A81" s="92"/>
      <x:c r="B81" s="95"/>
      <x:c r="C81" s="95"/>
      <x:c r="D81" s="95"/>
      <x:c r="E81" s="95"/>
      <x:c r="F81" s="95"/>
      <x:c r="G81" s="95"/>
      <x:c r="H81" s="95"/>
      <x:c r="I81" s="95"/>
      <x:c r="J81" s="95"/>
      <x:c r="K81" s="95"/>
      <x:c r="L81" s="95"/>
      <x:c r="M81" s="95"/>
      <x:c r="N81" s="106"/>
      <x:c r="O81" s="109"/>
    </x:row>
    <x:row r="82" ht="15" hidden="0" customHeight="1">
      <x:c r="A82" s="92"/>
      <x:c r="B82" s="95"/>
      <x:c r="C82" s="95"/>
      <x:c r="D82" s="95"/>
      <x:c r="E82" s="95"/>
      <x:c r="F82" s="95"/>
      <x:c r="G82" s="95"/>
      <x:c r="H82" s="95"/>
      <x:c r="I82" s="95"/>
      <x:c r="J82" s="95"/>
      <x:c r="K82" s="95"/>
      <x:c r="L82" s="95"/>
      <x:c r="M82" s="95"/>
      <x:c r="N82" s="106"/>
      <x:c r="O82" s="109"/>
    </x:row>
    <x:row r="83" ht="15" hidden="0" customHeight="1">
      <x:c r="A83" s="92"/>
      <x:c r="B83" s="95"/>
      <x:c r="C83" s="95"/>
      <x:c r="D83" s="95"/>
      <x:c r="E83" s="95"/>
      <x:c r="F83" s="95"/>
      <x:c r="G83" s="95"/>
      <x:c r="H83" s="95"/>
      <x:c r="I83" s="95"/>
      <x:c r="J83" s="95"/>
      <x:c r="K83" s="95"/>
      <x:c r="L83" s="95"/>
      <x:c r="M83" s="95"/>
      <x:c r="N83" s="106"/>
      <x:c r="O83" s="109"/>
    </x:row>
    <x:row r="84" ht="15" hidden="0" customHeight="1">
      <x:c r="A84" s="92"/>
      <x:c r="B84" s="95"/>
      <x:c r="C84" s="95"/>
      <x:c r="D84" s="95"/>
      <x:c r="E84" s="95"/>
      <x:c r="F84" s="95"/>
      <x:c r="G84" s="95"/>
      <x:c r="H84" s="95"/>
      <x:c r="I84" s="95"/>
      <x:c r="J84" s="95"/>
      <x:c r="K84" s="95"/>
      <x:c r="L84" s="95"/>
      <x:c r="M84" s="95"/>
      <x:c r="N84" s="106"/>
      <x:c r="O84" s="109"/>
    </x:row>
    <x:row r="85" ht="15" hidden="0" customHeight="1">
      <x:c r="A85" s="92"/>
      <x:c r="B85" s="95"/>
      <x:c r="C85" s="95"/>
      <x:c r="D85" s="95"/>
      <x:c r="E85" s="95"/>
      <x:c r="F85" s="95"/>
      <x:c r="G85" s="95"/>
      <x:c r="H85" s="95"/>
      <x:c r="I85" s="95"/>
      <x:c r="J85" s="95"/>
      <x:c r="K85" s="95"/>
      <x:c r="L85" s="95"/>
      <x:c r="M85" s="95"/>
      <x:c r="N85" s="106"/>
      <x:c r="O85" s="109"/>
    </x:row>
    <x:row r="86" ht="15" hidden="0" customHeight="1">
      <x:c r="A86" s="92"/>
      <x:c r="B86" s="95"/>
      <x:c r="C86" s="95"/>
      <x:c r="D86" s="95"/>
      <x:c r="E86" s="95"/>
      <x:c r="F86" s="95"/>
      <x:c r="G86" s="95"/>
      <x:c r="H86" s="95"/>
      <x:c r="I86" s="95"/>
      <x:c r="J86" s="95"/>
      <x:c r="K86" s="95"/>
      <x:c r="L86" s="95"/>
      <x:c r="M86" s="95"/>
      <x:c r="N86" s="106"/>
      <x:c r="O86" s="109"/>
    </x:row>
    <x:row r="87" ht="15" hidden="0" customHeight="1">
      <x:c r="A87" s="92"/>
      <x:c r="B87" s="95"/>
      <x:c r="C87" s="95"/>
      <x:c r="D87" s="95"/>
      <x:c r="E87" s="95"/>
      <x:c r="F87" s="95"/>
      <x:c r="G87" s="95"/>
      <x:c r="H87" s="95"/>
      <x:c r="I87" s="95"/>
      <x:c r="J87" s="95"/>
      <x:c r="K87" s="95"/>
      <x:c r="L87" s="95"/>
      <x:c r="M87" s="95"/>
      <x:c r="N87" s="106"/>
      <x:c r="O87" s="109"/>
    </x:row>
    <x:row r="88" ht="15" hidden="0" customHeight="1">
      <x:c r="A88" s="92"/>
      <x:c r="B88" s="95"/>
      <x:c r="C88" s="95"/>
      <x:c r="D88" s="95"/>
      <x:c r="E88" s="95"/>
      <x:c r="F88" s="95"/>
      <x:c r="G88" s="95"/>
      <x:c r="H88" s="95"/>
      <x:c r="I88" s="95"/>
      <x:c r="J88" s="95"/>
      <x:c r="K88" s="95"/>
      <x:c r="L88" s="95"/>
      <x:c r="M88" s="95"/>
      <x:c r="N88" s="106"/>
      <x:c r="O88" s="109"/>
    </x:row>
    <x:row r="89" ht="15" hidden="0" customHeight="1">
      <x:c r="A89" s="92"/>
      <x:c r="B89" s="95"/>
      <x:c r="C89" s="95"/>
      <x:c r="D89" s="95"/>
      <x:c r="E89" s="95"/>
      <x:c r="F89" s="95"/>
      <x:c r="G89" s="95"/>
      <x:c r="H89" s="95"/>
      <x:c r="I89" s="95"/>
      <x:c r="J89" s="95"/>
      <x:c r="K89" s="95"/>
      <x:c r="L89" s="95"/>
      <x:c r="M89" s="95"/>
      <x:c r="N89" s="106"/>
      <x:c r="O89" s="109"/>
    </x:row>
    <x:row r="90" ht="15" hidden="0" customHeight="1">
      <x:c r="A90" s="92"/>
      <x:c r="B90" s="95"/>
      <x:c r="C90" s="95"/>
      <x:c r="D90" s="95"/>
      <x:c r="E90" s="95"/>
      <x:c r="F90" s="95"/>
      <x:c r="G90" s="95"/>
      <x:c r="H90" s="95"/>
      <x:c r="I90" s="95"/>
      <x:c r="J90" s="95"/>
      <x:c r="K90" s="95"/>
      <x:c r="L90" s="95"/>
      <x:c r="M90" s="95"/>
      <x:c r="N90" s="106"/>
      <x:c r="O90" s="109"/>
    </x:row>
    <x:row r="91" ht="15" hidden="0" customHeight="1">
      <x:c r="A91" s="92"/>
      <x:c r="B91" s="95"/>
      <x:c r="C91" s="95"/>
      <x:c r="D91" s="95"/>
      <x:c r="E91" s="95"/>
      <x:c r="F91" s="95"/>
      <x:c r="G91" s="95"/>
      <x:c r="H91" s="95"/>
      <x:c r="I91" s="95"/>
      <x:c r="J91" s="95"/>
      <x:c r="K91" s="95"/>
      <x:c r="L91" s="95"/>
      <x:c r="M91" s="95"/>
      <x:c r="N91" s="106"/>
      <x:c r="O91" s="109"/>
    </x:row>
    <x:row r="92" ht="15" hidden="0" customHeight="1">
      <x:c r="A92" s="92"/>
      <x:c r="B92" s="95"/>
      <x:c r="C92" s="95"/>
      <x:c r="D92" s="95"/>
      <x:c r="E92" s="95"/>
      <x:c r="F92" s="95"/>
      <x:c r="G92" s="95"/>
      <x:c r="H92" s="95"/>
      <x:c r="I92" s="95"/>
      <x:c r="J92" s="95"/>
      <x:c r="K92" s="95"/>
      <x:c r="L92" s="95"/>
      <x:c r="M92" s="95"/>
      <x:c r="N92" s="106"/>
      <x:c r="O92" s="109"/>
    </x:row>
    <x:row r="93" ht="15" hidden="0" customHeight="1">
      <x:c r="A93" s="92"/>
      <x:c r="B93" s="95"/>
      <x:c r="C93" s="95"/>
      <x:c r="D93" s="95"/>
      <x:c r="E93" s="95"/>
      <x:c r="F93" s="95"/>
      <x:c r="G93" s="95"/>
      <x:c r="H93" s="95"/>
      <x:c r="I93" s="95"/>
      <x:c r="J93" s="95"/>
      <x:c r="K93" s="95"/>
      <x:c r="L93" s="95"/>
      <x:c r="M93" s="95"/>
      <x:c r="N93" s="106"/>
      <x:c r="O93" s="109"/>
    </x:row>
    <x:row r="94" ht="15" hidden="0" customHeight="1">
      <x:c r="A94" s="92"/>
      <x:c r="B94" s="95"/>
      <x:c r="C94" s="95"/>
      <x:c r="D94" s="95"/>
      <x:c r="E94" s="95"/>
      <x:c r="F94" s="95"/>
      <x:c r="G94" s="95"/>
      <x:c r="H94" s="95"/>
      <x:c r="I94" s="95"/>
      <x:c r="J94" s="95"/>
      <x:c r="K94" s="95"/>
      <x:c r="L94" s="95"/>
      <x:c r="M94" s="95"/>
      <x:c r="N94" s="106"/>
      <x:c r="O94" s="109"/>
    </x:row>
    <x:row r="95" ht="15" hidden="0" customHeight="1">
      <x:c r="A95" s="92"/>
      <x:c r="B95" s="95"/>
      <x:c r="C95" s="95"/>
      <x:c r="D95" s="95"/>
      <x:c r="E95" s="95"/>
      <x:c r="F95" s="95"/>
      <x:c r="G95" s="95"/>
      <x:c r="H95" s="95"/>
      <x:c r="I95" s="95"/>
      <x:c r="J95" s="95"/>
      <x:c r="K95" s="95"/>
      <x:c r="L95" s="95"/>
      <x:c r="M95" s="95"/>
      <x:c r="N95" s="106"/>
      <x:c r="O95" s="109"/>
    </x:row>
    <x:row r="96" ht="15" hidden="0" customHeight="1">
      <x:c r="A96" s="92"/>
      <x:c r="B96" s="95"/>
      <x:c r="C96" s="95"/>
      <x:c r="D96" s="95"/>
      <x:c r="E96" s="95"/>
      <x:c r="F96" s="95"/>
      <x:c r="G96" s="95"/>
      <x:c r="H96" s="95"/>
      <x:c r="I96" s="95"/>
      <x:c r="J96" s="95"/>
      <x:c r="K96" s="95"/>
      <x:c r="L96" s="95"/>
      <x:c r="M96" s="95"/>
      <x:c r="N96" s="106"/>
      <x:c r="O96" s="109"/>
    </x:row>
    <x:row r="97" ht="15" hidden="0" customHeight="1">
      <x:c r="A97" s="92"/>
      <x:c r="B97" s="95"/>
      <x:c r="C97" s="95"/>
      <x:c r="D97" s="95"/>
      <x:c r="E97" s="95"/>
      <x:c r="F97" s="95"/>
      <x:c r="G97" s="95"/>
      <x:c r="H97" s="95"/>
      <x:c r="I97" s="95"/>
      <x:c r="J97" s="95"/>
      <x:c r="K97" s="95"/>
      <x:c r="L97" s="95"/>
      <x:c r="M97" s="95"/>
      <x:c r="N97" s="106"/>
      <x:c r="O97" s="109"/>
    </x:row>
    <x:row r="98" ht="15" hidden="0" customHeight="1">
      <x:c r="A98" s="92"/>
      <x:c r="B98" s="95"/>
      <x:c r="C98" s="95"/>
      <x:c r="D98" s="95"/>
      <x:c r="E98" s="95"/>
      <x:c r="F98" s="95"/>
      <x:c r="G98" s="95"/>
      <x:c r="H98" s="95"/>
      <x:c r="I98" s="95"/>
      <x:c r="J98" s="95"/>
      <x:c r="K98" s="95"/>
      <x:c r="L98" s="95"/>
      <x:c r="M98" s="95"/>
      <x:c r="N98" s="106"/>
      <x:c r="O98" s="109"/>
    </x:row>
    <x:row r="99" ht="15" hidden="0" customHeight="1">
      <x:c r="A99" s="92"/>
      <x:c r="B99" s="95"/>
      <x:c r="C99" s="95"/>
      <x:c r="D99" s="95"/>
      <x:c r="E99" s="95"/>
      <x:c r="F99" s="95"/>
      <x:c r="G99" s="95"/>
      <x:c r="H99" s="95"/>
      <x:c r="I99" s="95"/>
      <x:c r="J99" s="95"/>
      <x:c r="K99" s="95"/>
      <x:c r="L99" s="95"/>
      <x:c r="M99" s="95"/>
      <x:c r="N99" s="106"/>
      <x:c r="O99" s="109"/>
    </x:row>
    <x:row r="100" ht="15" hidden="0" customHeight="1">
      <x:c r="A100" s="92"/>
      <x:c r="B100" s="95"/>
      <x:c r="C100" s="95"/>
      <x:c r="D100" s="95"/>
      <x:c r="E100" s="95"/>
      <x:c r="F100" s="95"/>
      <x:c r="G100" s="95"/>
      <x:c r="H100" s="95"/>
      <x:c r="I100" s="95"/>
      <x:c r="J100" s="95"/>
      <x:c r="K100" s="95"/>
      <x:c r="L100" s="95"/>
      <x:c r="M100" s="95"/>
      <x:c r="N100" s="106"/>
      <x:c r="O100" s="109"/>
    </x:row>
    <x:row r="101" ht="15" hidden="0" customHeight="1">
      <x:c r="A101" s="92"/>
      <x:c r="B101" s="95"/>
      <x:c r="C101" s="95"/>
      <x:c r="D101" s="95"/>
      <x:c r="E101" s="95"/>
      <x:c r="F101" s="95"/>
      <x:c r="G101" s="95"/>
      <x:c r="H101" s="95"/>
      <x:c r="I101" s="95"/>
      <x:c r="J101" s="95"/>
      <x:c r="K101" s="95"/>
      <x:c r="L101" s="95"/>
      <x:c r="M101" s="95"/>
      <x:c r="N101" s="106"/>
      <x:c r="O101" s="109"/>
    </x:row>
    <x:row r="102" ht="15" hidden="0" customHeight="1">
      <x:c r="A102" s="92"/>
      <x:c r="B102" s="95"/>
      <x:c r="C102" s="95"/>
      <x:c r="D102" s="95"/>
      <x:c r="E102" s="95"/>
      <x:c r="F102" s="95"/>
      <x:c r="G102" s="95"/>
      <x:c r="H102" s="95"/>
      <x:c r="I102" s="95"/>
      <x:c r="J102" s="95"/>
      <x:c r="K102" s="95"/>
      <x:c r="L102" s="95"/>
      <x:c r="M102" s="95"/>
      <x:c r="N102" s="106"/>
      <x:c r="O102" s="109"/>
    </x:row>
    <x:row r="103" ht="15" hidden="0" customHeight="1">
      <x:c r="A103" s="92"/>
      <x:c r="B103" s="95"/>
      <x:c r="C103" s="95"/>
      <x:c r="D103" s="95"/>
      <x:c r="E103" s="95"/>
      <x:c r="F103" s="95"/>
      <x:c r="G103" s="95"/>
      <x:c r="H103" s="95"/>
      <x:c r="I103" s="95"/>
      <x:c r="J103" s="95"/>
      <x:c r="K103" s="95"/>
      <x:c r="L103" s="95"/>
      <x:c r="M103" s="95"/>
      <x:c r="N103" s="106"/>
      <x:c r="O103" s="109"/>
    </x:row>
    <x:row r="104" ht="15" hidden="0" customHeight="1">
      <x:c r="A104" s="92"/>
      <x:c r="B104" s="95"/>
      <x:c r="C104" s="95"/>
      <x:c r="D104" s="95"/>
      <x:c r="E104" s="95"/>
      <x:c r="F104" s="95"/>
      <x:c r="G104" s="95"/>
      <x:c r="H104" s="95"/>
      <x:c r="I104" s="95"/>
      <x:c r="J104" s="95"/>
      <x:c r="K104" s="95"/>
      <x:c r="L104" s="95"/>
      <x:c r="M104" s="95"/>
      <x:c r="N104" s="106"/>
      <x:c r="O104" s="109"/>
    </x:row>
    <x:row r="105" ht="15" hidden="0" customHeight="1">
      <x:c r="A105" s="92"/>
      <x:c r="B105" s="95"/>
      <x:c r="C105" s="95"/>
      <x:c r="D105" s="95"/>
      <x:c r="E105" s="95"/>
      <x:c r="F105" s="95"/>
      <x:c r="G105" s="95"/>
      <x:c r="H105" s="95"/>
      <x:c r="I105" s="95"/>
      <x:c r="J105" s="95"/>
      <x:c r="K105" s="95"/>
      <x:c r="L105" s="95"/>
      <x:c r="M105" s="95"/>
      <x:c r="N105" s="106"/>
      <x:c r="O105" s="109"/>
    </x:row>
    <x:row r="106" ht="15" hidden="0" customHeight="1">
      <x:c r="A106" s="92"/>
      <x:c r="B106" s="95"/>
      <x:c r="C106" s="95"/>
      <x:c r="D106" s="95"/>
      <x:c r="E106" s="95"/>
      <x:c r="F106" s="95"/>
      <x:c r="G106" s="95"/>
      <x:c r="H106" s="95"/>
      <x:c r="I106" s="95"/>
      <x:c r="J106" s="95"/>
      <x:c r="K106" s="95"/>
      <x:c r="L106" s="95"/>
      <x:c r="M106" s="95"/>
      <x:c r="N106" s="106"/>
      <x:c r="O106" s="109"/>
    </x:row>
    <x:row r="107" ht="15" hidden="0" customHeight="1">
      <x:c r="A107" s="92"/>
      <x:c r="B107" s="95"/>
      <x:c r="C107" s="95"/>
      <x:c r="D107" s="95"/>
      <x:c r="E107" s="95"/>
      <x:c r="F107" s="95"/>
      <x:c r="G107" s="95"/>
      <x:c r="H107" s="95"/>
      <x:c r="I107" s="95"/>
      <x:c r="J107" s="95"/>
      <x:c r="K107" s="95"/>
      <x:c r="L107" s="95"/>
      <x:c r="M107" s="95"/>
      <x:c r="N107" s="106"/>
      <x:c r="O107" s="109"/>
    </x:row>
    <x:row r="108" ht="15" hidden="0" customHeight="1">
      <x:c r="A108" s="92"/>
      <x:c r="B108" s="95"/>
      <x:c r="C108" s="95"/>
      <x:c r="D108" s="95"/>
      <x:c r="E108" s="95"/>
      <x:c r="F108" s="95"/>
      <x:c r="G108" s="95"/>
      <x:c r="H108" s="95"/>
      <x:c r="I108" s="95"/>
      <x:c r="J108" s="95"/>
      <x:c r="K108" s="95"/>
      <x:c r="L108" s="95"/>
      <x:c r="M108" s="95"/>
      <x:c r="N108" s="106"/>
      <x:c r="O108" s="109"/>
    </x:row>
    <x:row r="109" ht="15" hidden="0" customHeight="1">
      <x:c r="A109" s="92"/>
      <x:c r="B109" s="95"/>
      <x:c r="C109" s="95"/>
      <x:c r="D109" s="95"/>
      <x:c r="E109" s="95"/>
      <x:c r="F109" s="95"/>
      <x:c r="G109" s="95"/>
      <x:c r="H109" s="95"/>
      <x:c r="I109" s="95"/>
      <x:c r="J109" s="95"/>
      <x:c r="K109" s="95"/>
      <x:c r="L109" s="95"/>
      <x:c r="M109" s="95"/>
      <x:c r="N109" s="106"/>
      <x:c r="O109" s="109"/>
    </x:row>
    <x:row r="110" ht="15" hidden="0" customHeight="1">
      <x:c r="A110" s="92"/>
      <x:c r="B110" s="95"/>
      <x:c r="C110" s="95"/>
      <x:c r="D110" s="95"/>
      <x:c r="E110" s="95"/>
      <x:c r="F110" s="95"/>
      <x:c r="G110" s="95"/>
      <x:c r="H110" s="95"/>
      <x:c r="I110" s="95"/>
      <x:c r="J110" s="95"/>
      <x:c r="K110" s="95"/>
      <x:c r="L110" s="95"/>
      <x:c r="M110" s="95"/>
      <x:c r="N110" s="106"/>
      <x:c r="O110" s="109"/>
    </x:row>
    <x:row r="111" ht="15" hidden="0" customHeight="1">
      <x:c r="A111" s="92"/>
      <x:c r="B111" s="95"/>
      <x:c r="C111" s="95"/>
      <x:c r="D111" s="95"/>
      <x:c r="E111" s="95"/>
      <x:c r="F111" s="95"/>
      <x:c r="G111" s="95"/>
      <x:c r="H111" s="95"/>
      <x:c r="I111" s="95"/>
      <x:c r="J111" s="95"/>
      <x:c r="K111" s="95"/>
      <x:c r="L111" s="95"/>
      <x:c r="M111" s="95"/>
      <x:c r="N111" s="106"/>
      <x:c r="O111" s="109"/>
    </x:row>
    <x:row r="112" ht="15" hidden="0" customHeight="1">
      <x:c r="A112" s="92"/>
      <x:c r="B112" s="95"/>
      <x:c r="C112" s="95"/>
      <x:c r="D112" s="95"/>
      <x:c r="E112" s="95"/>
      <x:c r="F112" s="95"/>
      <x:c r="G112" s="95"/>
      <x:c r="H112" s="95"/>
      <x:c r="I112" s="95"/>
      <x:c r="J112" s="95"/>
      <x:c r="K112" s="95"/>
      <x:c r="L112" s="95"/>
      <x:c r="M112" s="95"/>
      <x:c r="N112" s="106"/>
      <x:c r="O112" s="109"/>
    </x:row>
    <x:row r="113" ht="15" hidden="0" customHeight="1">
      <x:c r="A113" s="92"/>
      <x:c r="B113" s="95"/>
      <x:c r="C113" s="95"/>
      <x:c r="D113" s="95"/>
      <x:c r="E113" s="95"/>
      <x:c r="F113" s="95"/>
      <x:c r="G113" s="95"/>
      <x:c r="H113" s="95"/>
      <x:c r="I113" s="95"/>
      <x:c r="J113" s="95"/>
      <x:c r="K113" s="95"/>
      <x:c r="L113" s="95"/>
      <x:c r="M113" s="95"/>
      <x:c r="N113" s="106"/>
      <x:c r="O113" s="109"/>
    </x:row>
    <x:row r="114" ht="15" hidden="0" customHeight="1">
      <x:c r="A114" s="92"/>
      <x:c r="B114" s="95"/>
      <x:c r="C114" s="95"/>
      <x:c r="D114" s="95"/>
      <x:c r="E114" s="95"/>
      <x:c r="F114" s="95"/>
      <x:c r="G114" s="95"/>
      <x:c r="H114" s="95"/>
      <x:c r="I114" s="95"/>
      <x:c r="J114" s="95"/>
      <x:c r="K114" s="95"/>
      <x:c r="L114" s="95"/>
      <x:c r="M114" s="95"/>
      <x:c r="N114" s="106"/>
      <x:c r="O114" s="109"/>
    </x:row>
    <x:row r="115" ht="15" hidden="0" customHeight="1">
      <x:c r="A115" s="92"/>
      <x:c r="B115" s="95"/>
      <x:c r="C115" s="95"/>
      <x:c r="D115" s="95"/>
      <x:c r="E115" s="95"/>
      <x:c r="F115" s="95"/>
      <x:c r="G115" s="95"/>
      <x:c r="H115" s="95"/>
      <x:c r="I115" s="95"/>
      <x:c r="J115" s="95"/>
      <x:c r="K115" s="95"/>
      <x:c r="L115" s="95"/>
      <x:c r="M115" s="95"/>
      <x:c r="N115" s="106"/>
      <x:c r="O115" s="109"/>
    </x:row>
    <x:row r="116" ht="15" hidden="0" customHeight="1">
      <x:c r="A116" s="92"/>
      <x:c r="B116" s="95"/>
      <x:c r="C116" s="95"/>
      <x:c r="D116" s="95"/>
      <x:c r="E116" s="95"/>
      <x:c r="F116" s="95"/>
      <x:c r="G116" s="95"/>
      <x:c r="H116" s="95"/>
      <x:c r="I116" s="95"/>
      <x:c r="J116" s="95"/>
      <x:c r="K116" s="95"/>
      <x:c r="L116" s="95"/>
      <x:c r="M116" s="95"/>
      <x:c r="N116" s="106"/>
      <x:c r="O116" s="109"/>
    </x:row>
    <x:row r="117" ht="15" hidden="0" customHeight="1">
      <x:c r="A117" s="92"/>
      <x:c r="B117" s="95"/>
      <x:c r="C117" s="95"/>
      <x:c r="D117" s="95"/>
      <x:c r="E117" s="95"/>
      <x:c r="F117" s="95"/>
      <x:c r="G117" s="95"/>
      <x:c r="H117" s="95"/>
      <x:c r="I117" s="95"/>
      <x:c r="J117" s="95"/>
      <x:c r="K117" s="95"/>
      <x:c r="L117" s="95"/>
      <x:c r="M117" s="95"/>
      <x:c r="N117" s="106"/>
      <x:c r="O117" s="109"/>
    </x:row>
    <x:row r="118" ht="15" hidden="0" customHeight="1">
      <x:c r="A118" s="92"/>
      <x:c r="B118" s="95"/>
      <x:c r="C118" s="95"/>
      <x:c r="D118" s="95"/>
      <x:c r="E118" s="95"/>
      <x:c r="F118" s="95"/>
      <x:c r="G118" s="95"/>
      <x:c r="H118" s="95"/>
      <x:c r="I118" s="95"/>
      <x:c r="J118" s="95"/>
      <x:c r="K118" s="95"/>
      <x:c r="L118" s="95"/>
      <x:c r="M118" s="95"/>
      <x:c r="N118" s="106"/>
      <x:c r="O118" s="109"/>
    </x:row>
    <x:row r="119" ht="15" hidden="0" customHeight="1">
      <x:c r="A119" s="92"/>
      <x:c r="B119" s="95"/>
      <x:c r="C119" s="95"/>
      <x:c r="D119" s="95"/>
      <x:c r="E119" s="95"/>
      <x:c r="F119" s="95"/>
      <x:c r="G119" s="95"/>
      <x:c r="H119" s="95"/>
      <x:c r="I119" s="95"/>
      <x:c r="J119" s="95"/>
      <x:c r="K119" s="95"/>
      <x:c r="L119" s="95"/>
      <x:c r="M119" s="95"/>
      <x:c r="N119" s="106"/>
      <x:c r="O119" s="109"/>
    </x:row>
    <x:row r="120" ht="15" hidden="0" customHeight="1">
      <x:c r="A120" s="92"/>
      <x:c r="B120" s="95"/>
      <x:c r="C120" s="95"/>
      <x:c r="D120" s="95"/>
      <x:c r="E120" s="95"/>
      <x:c r="F120" s="95"/>
      <x:c r="G120" s="95"/>
      <x:c r="H120" s="95"/>
      <x:c r="I120" s="95"/>
      <x:c r="J120" s="95"/>
      <x:c r="K120" s="95"/>
      <x:c r="L120" s="95"/>
      <x:c r="M120" s="95"/>
      <x:c r="N120" s="106"/>
      <x:c r="O120" s="109"/>
    </x:row>
    <x:row r="121" ht="15" hidden="0" customHeight="1">
      <x:c r="A121" s="92"/>
      <x:c r="B121" s="95"/>
      <x:c r="C121" s="95"/>
      <x:c r="D121" s="95"/>
      <x:c r="E121" s="95"/>
      <x:c r="F121" s="95"/>
      <x:c r="G121" s="95"/>
      <x:c r="H121" s="95"/>
      <x:c r="I121" s="95"/>
      <x:c r="J121" s="95"/>
      <x:c r="K121" s="95"/>
      <x:c r="L121" s="95"/>
      <x:c r="M121" s="95"/>
      <x:c r="N121" s="106"/>
      <x:c r="O121" s="109"/>
    </x:row>
    <x:row r="122" ht="15" hidden="0" customHeight="1">
      <x:c r="A122" s="92"/>
      <x:c r="B122" s="95"/>
      <x:c r="C122" s="95"/>
      <x:c r="D122" s="95"/>
      <x:c r="E122" s="95"/>
      <x:c r="F122" s="95"/>
      <x:c r="G122" s="95"/>
      <x:c r="H122" s="95"/>
      <x:c r="I122" s="95"/>
      <x:c r="J122" s="95"/>
      <x:c r="K122" s="95"/>
      <x:c r="L122" s="95"/>
      <x:c r="M122" s="95"/>
      <x:c r="N122" s="106"/>
      <x:c r="O122" s="109"/>
    </x:row>
    <x:row r="123" ht="15" hidden="0" customHeight="1">
      <x:c r="A123" s="92"/>
      <x:c r="B123" s="95"/>
      <x:c r="C123" s="95"/>
      <x:c r="D123" s="95"/>
      <x:c r="E123" s="95"/>
      <x:c r="F123" s="95"/>
      <x:c r="G123" s="95"/>
      <x:c r="H123" s="95"/>
      <x:c r="I123" s="95"/>
      <x:c r="J123" s="95"/>
      <x:c r="K123" s="95"/>
      <x:c r="L123" s="95"/>
      <x:c r="M123" s="95"/>
      <x:c r="N123" s="106"/>
      <x:c r="O123" s="109"/>
    </x:row>
    <x:row r="124" ht="15" hidden="0" customHeight="1">
      <x:c r="A124" s="92"/>
      <x:c r="B124" s="95"/>
      <x:c r="C124" s="95"/>
      <x:c r="D124" s="95"/>
      <x:c r="E124" s="95"/>
      <x:c r="F124" s="95"/>
      <x:c r="G124" s="95"/>
      <x:c r="H124" s="95"/>
      <x:c r="I124" s="95"/>
      <x:c r="J124" s="95"/>
      <x:c r="K124" s="95"/>
      <x:c r="L124" s="95"/>
      <x:c r="M124" s="95"/>
      <x:c r="N124" s="106"/>
      <x:c r="O124" s="109"/>
    </x:row>
    <x:row r="125" ht="15" hidden="0" customHeight="1">
      <x:c r="A125" s="92"/>
      <x:c r="B125" s="95"/>
      <x:c r="C125" s="95"/>
      <x:c r="D125" s="95"/>
      <x:c r="E125" s="95"/>
      <x:c r="F125" s="95"/>
      <x:c r="G125" s="95"/>
      <x:c r="H125" s="95"/>
      <x:c r="I125" s="95"/>
      <x:c r="J125" s="95"/>
      <x:c r="K125" s="95"/>
      <x:c r="L125" s="95"/>
      <x:c r="M125" s="95"/>
      <x:c r="N125" s="106"/>
      <x:c r="O125" s="109"/>
    </x:row>
    <x:row r="126" ht="15" hidden="0" customHeight="1">
      <x:c r="A126" s="92"/>
      <x:c r="B126" s="95"/>
      <x:c r="C126" s="95"/>
      <x:c r="D126" s="95"/>
      <x:c r="E126" s="95"/>
      <x:c r="F126" s="95"/>
      <x:c r="G126" s="95"/>
      <x:c r="H126" s="95"/>
      <x:c r="I126" s="95"/>
      <x:c r="J126" s="95"/>
      <x:c r="K126" s="95"/>
      <x:c r="L126" s="95"/>
      <x:c r="M126" s="95"/>
      <x:c r="N126" s="106"/>
      <x:c r="O126" s="109"/>
    </x:row>
    <x:row r="127" ht="15" hidden="0" customHeight="1">
      <x:c r="A127" s="92"/>
      <x:c r="B127" s="95"/>
      <x:c r="C127" s="95"/>
      <x:c r="D127" s="95"/>
      <x:c r="E127" s="95"/>
      <x:c r="F127" s="95"/>
      <x:c r="G127" s="95"/>
      <x:c r="H127" s="95"/>
      <x:c r="I127" s="95"/>
      <x:c r="J127" s="95"/>
      <x:c r="K127" s="95"/>
      <x:c r="L127" s="95"/>
      <x:c r="M127" s="95"/>
      <x:c r="N127" s="106"/>
      <x:c r="O127" s="109"/>
    </x:row>
    <x:row r="128" ht="15" hidden="0" customHeight="1">
      <x:c r="A128" s="92"/>
      <x:c r="B128" s="95"/>
      <x:c r="C128" s="95"/>
      <x:c r="D128" s="95"/>
      <x:c r="E128" s="95"/>
      <x:c r="F128" s="95"/>
      <x:c r="G128" s="95"/>
      <x:c r="H128" s="95"/>
      <x:c r="I128" s="95"/>
      <x:c r="J128" s="95"/>
      <x:c r="K128" s="95"/>
      <x:c r="L128" s="95"/>
      <x:c r="M128" s="95"/>
      <x:c r="N128" s="106"/>
      <x:c r="O128" s="109"/>
    </x:row>
    <x:row r="129" ht="15" hidden="0" customHeight="1">
      <x:c r="A129" s="92"/>
      <x:c r="B129" s="95"/>
      <x:c r="C129" s="95"/>
      <x:c r="D129" s="95"/>
      <x:c r="E129" s="95"/>
      <x:c r="F129" s="95"/>
      <x:c r="G129" s="95"/>
      <x:c r="H129" s="95"/>
      <x:c r="I129" s="95"/>
      <x:c r="J129" s="95"/>
      <x:c r="K129" s="95"/>
      <x:c r="L129" s="95"/>
      <x:c r="M129" s="95"/>
      <x:c r="N129" s="106"/>
      <x:c r="O129" s="109"/>
    </x:row>
    <x:row r="130" ht="15" hidden="0" customHeight="1">
      <x:c r="A130" s="92"/>
      <x:c r="B130" s="95"/>
      <x:c r="C130" s="95"/>
      <x:c r="D130" s="95"/>
      <x:c r="E130" s="95"/>
      <x:c r="F130" s="95"/>
      <x:c r="G130" s="95"/>
      <x:c r="H130" s="95"/>
      <x:c r="I130" s="95"/>
      <x:c r="J130" s="95"/>
      <x:c r="K130" s="95"/>
      <x:c r="L130" s="95"/>
      <x:c r="M130" s="95"/>
      <x:c r="N130" s="106"/>
      <x:c r="O130" s="109"/>
    </x:row>
    <x:row r="131" ht="15" hidden="0" customHeight="1">
      <x:c r="A131" s="92"/>
      <x:c r="B131" s="95"/>
      <x:c r="C131" s="95"/>
      <x:c r="D131" s="95"/>
      <x:c r="E131" s="95"/>
      <x:c r="F131" s="95"/>
      <x:c r="G131" s="95"/>
      <x:c r="H131" s="95"/>
      <x:c r="I131" s="95"/>
      <x:c r="J131" s="95"/>
      <x:c r="K131" s="95"/>
      <x:c r="L131" s="95"/>
      <x:c r="M131" s="95"/>
      <x:c r="N131" s="106"/>
      <x:c r="O131" s="109"/>
    </x:row>
    <x:row r="132" ht="15" hidden="0" customHeight="1">
      <x:c r="A132" s="92"/>
      <x:c r="B132" s="95"/>
      <x:c r="C132" s="95"/>
      <x:c r="D132" s="95"/>
      <x:c r="E132" s="95"/>
      <x:c r="F132" s="95"/>
      <x:c r="G132" s="95"/>
      <x:c r="H132" s="95"/>
      <x:c r="I132" s="95"/>
      <x:c r="J132" s="95"/>
      <x:c r="K132" s="95"/>
      <x:c r="L132" s="95"/>
      <x:c r="M132" s="95"/>
      <x:c r="N132" s="106"/>
      <x:c r="O132" s="109"/>
    </x:row>
    <x:row r="133" ht="15" hidden="0" customHeight="1">
      <x:c r="A133" s="92"/>
      <x:c r="B133" s="95"/>
      <x:c r="C133" s="95"/>
      <x:c r="D133" s="95"/>
      <x:c r="E133" s="95"/>
      <x:c r="F133" s="95"/>
      <x:c r="G133" s="95"/>
      <x:c r="H133" s="95"/>
      <x:c r="I133" s="95"/>
      <x:c r="J133" s="95"/>
      <x:c r="K133" s="95"/>
      <x:c r="L133" s="95"/>
      <x:c r="M133" s="95"/>
      <x:c r="N133" s="106"/>
      <x:c r="O133" s="109"/>
    </x:row>
    <x:row r="134" ht="15" hidden="0" customHeight="1">
      <x:c r="A134" s="92"/>
      <x:c r="B134" s="95"/>
      <x:c r="C134" s="95"/>
      <x:c r="D134" s="95"/>
      <x:c r="E134" s="95"/>
      <x:c r="F134" s="95"/>
      <x:c r="G134" s="95"/>
      <x:c r="H134" s="95"/>
      <x:c r="I134" s="95"/>
      <x:c r="J134" s="95"/>
      <x:c r="K134" s="95"/>
      <x:c r="L134" s="95"/>
      <x:c r="M134" s="95"/>
      <x:c r="N134" s="106"/>
      <x:c r="O134" s="109"/>
    </x:row>
    <x:row r="135" ht="15" hidden="0" customHeight="1">
      <x:c r="A135" s="92"/>
      <x:c r="B135" s="95"/>
      <x:c r="C135" s="95"/>
      <x:c r="D135" s="95"/>
      <x:c r="E135" s="95"/>
      <x:c r="F135" s="95"/>
      <x:c r="G135" s="95"/>
      <x:c r="H135" s="95"/>
      <x:c r="I135" s="95"/>
      <x:c r="J135" s="95"/>
      <x:c r="K135" s="95"/>
      <x:c r="L135" s="95"/>
      <x:c r="M135" s="95"/>
      <x:c r="N135" s="106"/>
      <x:c r="O135" s="109"/>
    </x:row>
    <x:row r="136" ht="15" hidden="0" customHeight="1">
      <x:c r="A136" s="92"/>
      <x:c r="B136" s="95"/>
      <x:c r="C136" s="95"/>
      <x:c r="D136" s="95"/>
      <x:c r="E136" s="95"/>
      <x:c r="F136" s="95"/>
      <x:c r="G136" s="95"/>
      <x:c r="H136" s="95"/>
      <x:c r="I136" s="95"/>
      <x:c r="J136" s="95"/>
      <x:c r="K136" s="95"/>
      <x:c r="L136" s="95"/>
      <x:c r="M136" s="95"/>
      <x:c r="N136" s="106"/>
      <x:c r="O136" s="109"/>
    </x:row>
    <x:row r="137" ht="15" hidden="0" customHeight="1">
      <x:c r="A137" s="92"/>
      <x:c r="B137" s="95"/>
      <x:c r="C137" s="95"/>
      <x:c r="D137" s="95"/>
      <x:c r="E137" s="95"/>
      <x:c r="F137" s="95"/>
      <x:c r="G137" s="95"/>
      <x:c r="H137" s="95"/>
      <x:c r="I137" s="95"/>
      <x:c r="J137" s="95"/>
      <x:c r="K137" s="95"/>
      <x:c r="L137" s="95"/>
      <x:c r="M137" s="95"/>
      <x:c r="N137" s="106"/>
      <x:c r="O137" s="109"/>
    </x:row>
    <x:row r="138" ht="15" hidden="0" customHeight="1">
      <x:c r="A138" s="92"/>
      <x:c r="B138" s="95"/>
      <x:c r="C138" s="95"/>
      <x:c r="D138" s="95"/>
      <x:c r="E138" s="95"/>
      <x:c r="F138" s="95"/>
      <x:c r="G138" s="95"/>
      <x:c r="H138" s="95"/>
      <x:c r="I138" s="95"/>
      <x:c r="J138" s="95"/>
      <x:c r="K138" s="95"/>
      <x:c r="L138" s="95"/>
      <x:c r="M138" s="95"/>
      <x:c r="N138" s="106"/>
      <x:c r="O138" s="109"/>
    </x:row>
    <x:row r="139" ht="15" hidden="0" customHeight="1">
      <x:c r="A139" s="92"/>
      <x:c r="B139" s="95"/>
      <x:c r="C139" s="95"/>
      <x:c r="D139" s="95"/>
      <x:c r="E139" s="95"/>
      <x:c r="F139" s="95"/>
      <x:c r="G139" s="95"/>
      <x:c r="H139" s="95"/>
      <x:c r="I139" s="95"/>
      <x:c r="J139" s="95"/>
      <x:c r="K139" s="95"/>
      <x:c r="L139" s="95"/>
      <x:c r="M139" s="95"/>
      <x:c r="N139" s="106"/>
      <x:c r="O139" s="109"/>
    </x:row>
    <x:row r="140" ht="15" hidden="0" customHeight="1">
      <x:c r="A140" s="92"/>
      <x:c r="B140" s="95"/>
      <x:c r="C140" s="95"/>
      <x:c r="D140" s="95"/>
      <x:c r="E140" s="95"/>
      <x:c r="F140" s="95"/>
      <x:c r="G140" s="95"/>
      <x:c r="H140" s="95"/>
      <x:c r="I140" s="95"/>
      <x:c r="J140" s="95"/>
      <x:c r="K140" s="95"/>
      <x:c r="L140" s="95"/>
      <x:c r="M140" s="95"/>
      <x:c r="N140" s="106"/>
      <x:c r="O140" s="109"/>
    </x:row>
    <x:row r="141" ht="15" hidden="0" customHeight="1">
      <x:c r="A141" s="92"/>
      <x:c r="B141" s="95"/>
      <x:c r="C141" s="95"/>
      <x:c r="D141" s="95"/>
      <x:c r="E141" s="95"/>
      <x:c r="F141" s="95"/>
      <x:c r="G141" s="95"/>
      <x:c r="H141" s="95"/>
      <x:c r="I141" s="95"/>
      <x:c r="J141" s="95"/>
      <x:c r="K141" s="95"/>
      <x:c r="L141" s="95"/>
      <x:c r="M141" s="95"/>
      <x:c r="N141" s="106"/>
      <x:c r="O141" s="109"/>
    </x:row>
    <x:row r="142" ht="15" hidden="0" customHeight="1">
      <x:c r="A142" s="92"/>
      <x:c r="B142" s="95"/>
      <x:c r="C142" s="95"/>
      <x:c r="D142" s="95"/>
      <x:c r="E142" s="95"/>
      <x:c r="F142" s="95"/>
      <x:c r="G142" s="95"/>
      <x:c r="H142" s="95"/>
      <x:c r="I142" s="95"/>
      <x:c r="J142" s="95"/>
      <x:c r="K142" s="95"/>
      <x:c r="L142" s="95"/>
      <x:c r="M142" s="95"/>
      <x:c r="N142" s="106"/>
      <x:c r="O142" s="109"/>
    </x:row>
    <x:row r="143" ht="15" hidden="0" customHeight="1">
      <x:c r="A143" s="92"/>
      <x:c r="B143" s="95"/>
      <x:c r="C143" s="95"/>
      <x:c r="D143" s="95"/>
      <x:c r="E143" s="95"/>
      <x:c r="F143" s="95"/>
      <x:c r="G143" s="95"/>
      <x:c r="H143" s="95"/>
      <x:c r="I143" s="95"/>
      <x:c r="J143" s="95"/>
      <x:c r="K143" s="95"/>
      <x:c r="L143" s="95"/>
      <x:c r="M143" s="95"/>
      <x:c r="N143" s="106"/>
      <x:c r="O143" s="109"/>
    </x:row>
    <x:row r="144" ht="15" hidden="0" customHeight="1">
      <x:c r="A144" s="92"/>
      <x:c r="B144" s="95"/>
      <x:c r="C144" s="95"/>
      <x:c r="D144" s="95"/>
      <x:c r="E144" s="95"/>
      <x:c r="F144" s="95"/>
      <x:c r="G144" s="95"/>
      <x:c r="H144" s="95"/>
      <x:c r="I144" s="95"/>
      <x:c r="J144" s="95"/>
      <x:c r="K144" s="95"/>
      <x:c r="L144" s="95"/>
      <x:c r="M144" s="95"/>
      <x:c r="N144" s="106"/>
      <x:c r="O144" s="109"/>
    </x:row>
    <x:row r="145" ht="15" hidden="0" customHeight="1">
      <x:c r="A145" s="92"/>
      <x:c r="B145" s="95"/>
      <x:c r="C145" s="95"/>
      <x:c r="D145" s="95"/>
      <x:c r="E145" s="95"/>
      <x:c r="F145" s="95"/>
      <x:c r="G145" s="95"/>
      <x:c r="H145" s="95"/>
      <x:c r="I145" s="95"/>
      <x:c r="J145" s="95"/>
      <x:c r="K145" s="95"/>
      <x:c r="L145" s="95"/>
      <x:c r="M145" s="95"/>
      <x:c r="N145" s="106"/>
      <x:c r="O145" s="109"/>
    </x:row>
    <x:row r="146" ht="15" hidden="0" customHeight="1">
      <x:c r="A146" s="92"/>
      <x:c r="B146" s="95"/>
      <x:c r="C146" s="95"/>
      <x:c r="D146" s="95"/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106"/>
      <x:c r="O146" s="109"/>
    </x:row>
    <x:row r="147" ht="15" hidden="0" customHeight="1">
      <x:c r="A147" s="92"/>
      <x:c r="B147" s="95"/>
      <x:c r="C147" s="95"/>
      <x:c r="D147" s="95"/>
      <x:c r="E147" s="95"/>
      <x:c r="F147" s="95"/>
      <x:c r="G147" s="95"/>
      <x:c r="H147" s="95"/>
      <x:c r="I147" s="95"/>
      <x:c r="J147" s="95"/>
      <x:c r="K147" s="95"/>
      <x:c r="L147" s="95"/>
      <x:c r="M147" s="95"/>
      <x:c r="N147" s="106"/>
      <x:c r="O147" s="109"/>
    </x:row>
    <x:row r="148" ht="15" hidden="0" customHeight="1">
      <x:c r="A148" s="92"/>
      <x:c r="B148" s="95"/>
      <x:c r="C148" s="95"/>
      <x:c r="D148" s="95"/>
      <x:c r="E148" s="95"/>
      <x:c r="F148" s="95"/>
      <x:c r="G148" s="95"/>
      <x:c r="H148" s="95"/>
      <x:c r="I148" s="95"/>
      <x:c r="J148" s="95"/>
      <x:c r="K148" s="95"/>
      <x:c r="L148" s="95"/>
      <x:c r="M148" s="95"/>
      <x:c r="N148" s="106"/>
      <x:c r="O148" s="109"/>
    </x:row>
    <x:row r="149" ht="15" hidden="0" customHeight="1">
      <x:c r="A149" s="92"/>
      <x:c r="B149" s="95"/>
      <x:c r="C149" s="95"/>
      <x:c r="D149" s="95"/>
      <x:c r="E149" s="95"/>
      <x:c r="F149" s="95"/>
      <x:c r="G149" s="95"/>
      <x:c r="H149" s="95"/>
      <x:c r="I149" s="95"/>
      <x:c r="J149" s="95"/>
      <x:c r="K149" s="95"/>
      <x:c r="L149" s="95"/>
      <x:c r="M149" s="95"/>
      <x:c r="N149" s="106"/>
      <x:c r="O149" s="109"/>
    </x:row>
    <x:row r="150" ht="15" hidden="0" customHeight="1">
      <x:c r="A150" s="92"/>
      <x:c r="B150" s="95"/>
      <x:c r="C150" s="95"/>
      <x:c r="D150" s="95"/>
      <x:c r="E150" s="95"/>
      <x:c r="F150" s="95"/>
      <x:c r="G150" s="95"/>
      <x:c r="H150" s="95"/>
      <x:c r="I150" s="95"/>
      <x:c r="J150" s="95"/>
      <x:c r="K150" s="95"/>
      <x:c r="L150" s="95"/>
      <x:c r="M150" s="95"/>
      <x:c r="N150" s="106"/>
      <x:c r="O150" s="109"/>
    </x:row>
    <x:row r="151" ht="15" hidden="0" customHeight="1">
      <x:c r="A151" s="92"/>
      <x:c r="B151" s="95"/>
      <x:c r="C151" s="95"/>
      <x:c r="D151" s="95"/>
      <x:c r="E151" s="95"/>
      <x:c r="F151" s="95"/>
      <x:c r="G151" s="95"/>
      <x:c r="H151" s="95"/>
      <x:c r="I151" s="95"/>
      <x:c r="J151" s="95"/>
      <x:c r="K151" s="95"/>
      <x:c r="L151" s="95"/>
      <x:c r="M151" s="95"/>
      <x:c r="N151" s="106"/>
      <x:c r="O151" s="109"/>
    </x:row>
    <x:row r="152" ht="15" hidden="0" customHeight="1">
      <x:c r="A152" s="92"/>
      <x:c r="B152" s="95"/>
      <x:c r="C152" s="95"/>
      <x:c r="D152" s="95"/>
      <x:c r="E152" s="95"/>
      <x:c r="F152" s="95"/>
      <x:c r="G152" s="95"/>
      <x:c r="H152" s="95"/>
      <x:c r="I152" s="95"/>
      <x:c r="J152" s="95"/>
      <x:c r="K152" s="95"/>
      <x:c r="L152" s="95"/>
      <x:c r="M152" s="95"/>
      <x:c r="N152" s="106"/>
      <x:c r="O152" s="109"/>
    </x:row>
    <x:row r="153" ht="15" hidden="0" customHeight="1">
      <x:c r="A153" s="92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106"/>
      <x:c r="O153" s="109"/>
    </x:row>
    <x:row r="154" ht="15" hidden="0" customHeight="1">
      <x:c r="A154" s="92"/>
      <x:c r="B154" s="95"/>
      <x:c r="C154" s="95"/>
      <x:c r="D154" s="95"/>
      <x:c r="E154" s="95"/>
      <x:c r="F154" s="95"/>
      <x:c r="G154" s="95"/>
      <x:c r="H154" s="95"/>
      <x:c r="I154" s="95"/>
      <x:c r="J154" s="95"/>
      <x:c r="K154" s="95"/>
      <x:c r="L154" s="95"/>
      <x:c r="M154" s="95"/>
      <x:c r="N154" s="106"/>
      <x:c r="O154" s="109"/>
    </x:row>
    <x:row r="155" ht="15" hidden="0" customHeight="1">
      <x:c r="A155" s="92"/>
      <x:c r="B155" s="95"/>
      <x:c r="C155" s="95"/>
      <x:c r="D155" s="95"/>
      <x:c r="E155" s="95"/>
      <x:c r="F155" s="95"/>
      <x:c r="G155" s="95"/>
      <x:c r="H155" s="95"/>
      <x:c r="I155" s="95"/>
      <x:c r="J155" s="95"/>
      <x:c r="K155" s="95"/>
      <x:c r="L155" s="95"/>
      <x:c r="M155" s="95"/>
      <x:c r="N155" s="106"/>
      <x:c r="O155" s="109"/>
    </x:row>
    <x:row r="156" ht="15" hidden="0" customHeight="1">
      <x:c r="A156" s="92"/>
      <x:c r="B156" s="95"/>
      <x:c r="C156" s="95"/>
      <x:c r="D156" s="95"/>
      <x:c r="E156" s="95"/>
      <x:c r="F156" s="95"/>
      <x:c r="G156" s="95"/>
      <x:c r="H156" s="95"/>
      <x:c r="I156" s="95"/>
      <x:c r="J156" s="95"/>
      <x:c r="K156" s="95"/>
      <x:c r="L156" s="95"/>
      <x:c r="M156" s="95"/>
      <x:c r="N156" s="106"/>
      <x:c r="O156" s="109"/>
    </x:row>
    <x:row r="157" ht="15" hidden="0" customHeight="1">
      <x:c r="A157" s="92"/>
      <x:c r="B157" s="95"/>
      <x:c r="C157" s="95"/>
      <x:c r="D157" s="95"/>
      <x:c r="E157" s="95"/>
      <x:c r="F157" s="95"/>
      <x:c r="G157" s="95"/>
      <x:c r="H157" s="95"/>
      <x:c r="I157" s="95"/>
      <x:c r="J157" s="95"/>
      <x:c r="K157" s="95"/>
      <x:c r="L157" s="95"/>
      <x:c r="M157" s="95"/>
      <x:c r="N157" s="106"/>
      <x:c r="O157" s="109"/>
    </x:row>
    <x:row r="158" ht="15" hidden="0" customHeight="1">
      <x:c r="A158" s="92"/>
      <x:c r="B158" s="95"/>
      <x:c r="C158" s="95"/>
      <x:c r="D158" s="95"/>
      <x:c r="E158" s="95"/>
      <x:c r="F158" s="95"/>
      <x:c r="G158" s="95"/>
      <x:c r="H158" s="95"/>
      <x:c r="I158" s="95"/>
      <x:c r="J158" s="95"/>
      <x:c r="K158" s="95"/>
      <x:c r="L158" s="95"/>
      <x:c r="M158" s="95"/>
      <x:c r="N158" s="106"/>
      <x:c r="O158" s="109"/>
    </x:row>
    <x:row r="159" ht="15" hidden="0" customHeight="1">
      <x:c r="A159" s="92"/>
      <x:c r="B159" s="95"/>
      <x:c r="C159" s="95"/>
      <x:c r="D159" s="95"/>
      <x:c r="E159" s="95"/>
      <x:c r="F159" s="95"/>
      <x:c r="G159" s="95"/>
      <x:c r="H159" s="95"/>
      <x:c r="I159" s="95"/>
      <x:c r="J159" s="95"/>
      <x:c r="K159" s="95"/>
      <x:c r="L159" s="95"/>
      <x:c r="M159" s="95"/>
      <x:c r="N159" s="106"/>
      <x:c r="O159" s="109"/>
    </x:row>
    <x:row r="160" ht="15" hidden="0" customHeight="1">
      <x:c r="A160" s="92"/>
      <x:c r="B160" s="95"/>
      <x:c r="C160" s="95"/>
      <x:c r="D160" s="95"/>
      <x:c r="E160" s="95"/>
      <x:c r="F160" s="95"/>
      <x:c r="G160" s="95"/>
      <x:c r="H160" s="95"/>
      <x:c r="I160" s="95"/>
      <x:c r="J160" s="95"/>
      <x:c r="K160" s="95"/>
      <x:c r="L160" s="95"/>
      <x:c r="M160" s="95"/>
      <x:c r="N160" s="106"/>
      <x:c r="O160" s="109"/>
    </x:row>
    <x:row r="161" ht="15" hidden="0" customHeight="1">
      <x:c r="A161" s="92"/>
      <x:c r="B161" s="95"/>
      <x:c r="C161" s="95"/>
      <x:c r="D161" s="95"/>
      <x:c r="E161" s="95"/>
      <x:c r="F161" s="95"/>
      <x:c r="G161" s="95"/>
      <x:c r="H161" s="95"/>
      <x:c r="I161" s="95"/>
      <x:c r="J161" s="95"/>
      <x:c r="K161" s="95"/>
      <x:c r="L161" s="95"/>
      <x:c r="M161" s="95"/>
      <x:c r="N161" s="106"/>
      <x:c r="O161" s="109"/>
    </x:row>
    <x:row r="162" ht="15" hidden="0" customHeight="1">
      <x:c r="A162" s="92"/>
      <x:c r="B162" s="95"/>
      <x:c r="C162" s="95"/>
      <x:c r="D162" s="95"/>
      <x:c r="E162" s="95"/>
      <x:c r="F162" s="95"/>
      <x:c r="G162" s="95"/>
      <x:c r="H162" s="95"/>
      <x:c r="I162" s="95"/>
      <x:c r="J162" s="95"/>
      <x:c r="K162" s="95"/>
      <x:c r="L162" s="95"/>
      <x:c r="M162" s="95"/>
      <x:c r="N162" s="106"/>
      <x:c r="O162" s="109"/>
    </x:row>
    <x:row r="163" ht="15" hidden="0" customHeight="1">
      <x:c r="A163" s="92"/>
      <x:c r="B163" s="95"/>
      <x:c r="C163" s="95"/>
      <x:c r="D163" s="95"/>
      <x:c r="E163" s="95"/>
      <x:c r="F163" s="95"/>
      <x:c r="G163" s="95"/>
      <x:c r="H163" s="95"/>
      <x:c r="I163" s="95"/>
      <x:c r="J163" s="95"/>
      <x:c r="K163" s="95"/>
      <x:c r="L163" s="95"/>
      <x:c r="M163" s="95"/>
      <x:c r="N163" s="106"/>
      <x:c r="O163" s="109"/>
    </x:row>
    <x:row r="164" ht="15" hidden="0" customHeight="1">
      <x:c r="A164" s="92"/>
      <x:c r="B164" s="95"/>
      <x:c r="C164" s="95"/>
      <x:c r="D164" s="95"/>
      <x:c r="E164" s="95"/>
      <x:c r="F164" s="95"/>
      <x:c r="G164" s="95"/>
      <x:c r="H164" s="95"/>
      <x:c r="I164" s="95"/>
      <x:c r="J164" s="95"/>
      <x:c r="K164" s="95"/>
      <x:c r="L164" s="95"/>
      <x:c r="M164" s="95"/>
      <x:c r="N164" s="106"/>
      <x:c r="O164" s="109"/>
    </x:row>
    <x:row r="165" ht="15" hidden="0" customHeight="1">
      <x:c r="A165" s="92"/>
      <x:c r="B165" s="95"/>
      <x:c r="C165" s="95"/>
      <x:c r="D165" s="95"/>
      <x:c r="E165" s="95"/>
      <x:c r="F165" s="95"/>
      <x:c r="G165" s="95"/>
      <x:c r="H165" s="95"/>
      <x:c r="I165" s="95"/>
      <x:c r="J165" s="95"/>
      <x:c r="K165" s="95"/>
      <x:c r="L165" s="95"/>
      <x:c r="M165" s="95"/>
      <x:c r="N165" s="106"/>
      <x:c r="O165" s="109"/>
    </x:row>
    <x:row r="166" ht="15" hidden="0" customHeight="1">
      <x:c r="A166" s="92"/>
      <x:c r="B166" s="95"/>
      <x:c r="C166" s="95"/>
      <x:c r="D166" s="95"/>
      <x:c r="E166" s="95"/>
      <x:c r="F166" s="95"/>
      <x:c r="G166" s="95"/>
      <x:c r="H166" s="95"/>
      <x:c r="I166" s="95"/>
      <x:c r="J166" s="95"/>
      <x:c r="K166" s="95"/>
      <x:c r="L166" s="95"/>
      <x:c r="M166" s="95"/>
      <x:c r="N166" s="106"/>
      <x:c r="O166" s="109"/>
    </x:row>
    <x:row r="167" ht="15" hidden="0" customHeight="1">
      <x:c r="A167" s="92"/>
      <x:c r="B167" s="95"/>
      <x:c r="C167" s="95"/>
      <x:c r="D167" s="95"/>
      <x:c r="E167" s="95"/>
      <x:c r="F167" s="95"/>
      <x:c r="G167" s="95"/>
      <x:c r="H167" s="95"/>
      <x:c r="I167" s="95"/>
      <x:c r="J167" s="95"/>
      <x:c r="K167" s="95"/>
      <x:c r="L167" s="95"/>
      <x:c r="M167" s="95"/>
      <x:c r="N167" s="106"/>
      <x:c r="O167" s="109"/>
    </x:row>
    <x:row r="168" ht="15" hidden="0" customHeight="1">
      <x:c r="A168" s="92"/>
      <x:c r="B168" s="95"/>
      <x:c r="C168" s="95"/>
      <x:c r="D168" s="95"/>
      <x:c r="E168" s="95"/>
      <x:c r="F168" s="95"/>
      <x:c r="G168" s="95"/>
      <x:c r="H168" s="95"/>
      <x:c r="I168" s="95"/>
      <x:c r="J168" s="95"/>
      <x:c r="K168" s="95"/>
      <x:c r="L168" s="95"/>
      <x:c r="M168" s="95"/>
      <x:c r="N168" s="106"/>
      <x:c r="O168" s="109"/>
    </x:row>
    <x:row r="169" ht="15" hidden="0" customHeight="1">
      <x:c r="A169" s="92"/>
      <x:c r="B169" s="95"/>
      <x:c r="C169" s="95"/>
      <x:c r="D169" s="95"/>
      <x:c r="E169" s="95"/>
      <x:c r="F169" s="95"/>
      <x:c r="G169" s="95"/>
      <x:c r="H169" s="95"/>
      <x:c r="I169" s="95"/>
      <x:c r="J169" s="95"/>
      <x:c r="K169" s="95"/>
      <x:c r="L169" s="95"/>
      <x:c r="M169" s="95"/>
      <x:c r="N169" s="106"/>
      <x:c r="O169" s="109"/>
    </x:row>
    <x:row r="170" ht="15" hidden="0" customHeight="1">
      <x:c r="A170" s="92"/>
      <x:c r="B170" s="95"/>
      <x:c r="C170" s="95"/>
      <x:c r="D170" s="95"/>
      <x:c r="E170" s="95"/>
      <x:c r="F170" s="95"/>
      <x:c r="G170" s="95"/>
      <x:c r="H170" s="95"/>
      <x:c r="I170" s="95"/>
      <x:c r="J170" s="95"/>
      <x:c r="K170" s="95"/>
      <x:c r="L170" s="95"/>
      <x:c r="M170" s="95"/>
      <x:c r="N170" s="106"/>
      <x:c r="O170" s="109"/>
    </x:row>
    <x:row r="171" ht="15" hidden="0" customHeight="1">
      <x:c r="A171" s="92"/>
      <x:c r="B171" s="95"/>
      <x:c r="C171" s="95"/>
      <x:c r="D171" s="95"/>
      <x:c r="E171" s="95"/>
      <x:c r="F171" s="95"/>
      <x:c r="G171" s="95"/>
      <x:c r="H171" s="95"/>
      <x:c r="I171" s="95"/>
      <x:c r="J171" s="95"/>
      <x:c r="K171" s="95"/>
      <x:c r="L171" s="95"/>
      <x:c r="M171" s="95"/>
      <x:c r="N171" s="106"/>
      <x:c r="O171" s="109"/>
    </x:row>
    <x:row r="172" ht="15" hidden="0" customHeight="1">
      <x:c r="A172" s="92"/>
      <x:c r="B172" s="95"/>
      <x:c r="C172" s="95"/>
      <x:c r="D172" s="95"/>
      <x:c r="E172" s="95"/>
      <x:c r="F172" s="95"/>
      <x:c r="G172" s="95"/>
      <x:c r="H172" s="95"/>
      <x:c r="I172" s="95"/>
      <x:c r="J172" s="95"/>
      <x:c r="K172" s="95"/>
      <x:c r="L172" s="95"/>
      <x:c r="M172" s="95"/>
      <x:c r="N172" s="106"/>
      <x:c r="O172" s="109"/>
    </x:row>
    <x:row r="173" ht="15" hidden="0" customHeight="1">
      <x:c r="A173" s="92"/>
      <x:c r="B173" s="95"/>
      <x:c r="C173" s="95"/>
      <x:c r="D173" s="95"/>
      <x:c r="E173" s="95"/>
      <x:c r="F173" s="95"/>
      <x:c r="G173" s="95"/>
      <x:c r="H173" s="95"/>
      <x:c r="I173" s="95"/>
      <x:c r="J173" s="95"/>
      <x:c r="K173" s="95"/>
      <x:c r="L173" s="95"/>
      <x:c r="M173" s="95"/>
      <x:c r="N173" s="106"/>
      <x:c r="O173" s="109"/>
    </x:row>
    <x:row r="174" ht="15" hidden="0" customHeight="1">
      <x:c r="A174" s="92"/>
      <x:c r="B174" s="95"/>
      <x:c r="C174" s="95"/>
      <x:c r="D174" s="95"/>
      <x:c r="E174" s="95"/>
      <x:c r="F174" s="95"/>
      <x:c r="G174" s="95"/>
      <x:c r="H174" s="95"/>
      <x:c r="I174" s="95"/>
      <x:c r="J174" s="95"/>
      <x:c r="K174" s="95"/>
      <x:c r="L174" s="95"/>
      <x:c r="M174" s="95"/>
      <x:c r="N174" s="106"/>
      <x:c r="O174" s="109"/>
    </x:row>
    <x:row r="175" ht="15" hidden="0" customHeight="1">
      <x:c r="A175" s="92"/>
      <x:c r="B175" s="95"/>
      <x:c r="C175" s="95"/>
      <x:c r="D175" s="95"/>
      <x:c r="E175" s="95"/>
      <x:c r="F175" s="95"/>
      <x:c r="G175" s="95"/>
      <x:c r="H175" s="95"/>
      <x:c r="I175" s="95"/>
      <x:c r="J175" s="95"/>
      <x:c r="K175" s="95"/>
      <x:c r="L175" s="95"/>
      <x:c r="M175" s="95"/>
      <x:c r="N175" s="106"/>
      <x:c r="O175" s="109"/>
    </x:row>
    <x:row r="176" ht="15" hidden="0" customHeight="1">
      <x:c r="A176" s="92"/>
      <x:c r="B176" s="95"/>
      <x:c r="C176" s="95"/>
      <x:c r="D176" s="95"/>
      <x:c r="E176" s="95"/>
      <x:c r="F176" s="95"/>
      <x:c r="G176" s="95"/>
      <x:c r="H176" s="95"/>
      <x:c r="I176" s="95"/>
      <x:c r="J176" s="95"/>
      <x:c r="K176" s="95"/>
      <x:c r="L176" s="95"/>
      <x:c r="M176" s="95"/>
      <x:c r="N176" s="106"/>
      <x:c r="O176" s="109"/>
    </x:row>
    <x:row r="177" ht="15" hidden="0" customHeight="1">
      <x:c r="A177" s="92"/>
      <x:c r="B177" s="95"/>
      <x:c r="C177" s="95"/>
      <x:c r="D177" s="95"/>
      <x:c r="E177" s="95"/>
      <x:c r="F177" s="95"/>
      <x:c r="G177" s="95"/>
      <x:c r="H177" s="95"/>
      <x:c r="I177" s="95"/>
      <x:c r="J177" s="95"/>
      <x:c r="K177" s="95"/>
      <x:c r="L177" s="95"/>
      <x:c r="M177" s="95"/>
      <x:c r="N177" s="106"/>
      <x:c r="O177" s="109"/>
    </x:row>
    <x:row r="178" ht="15" hidden="0" customHeight="1">
      <x:c r="A178" s="92"/>
      <x:c r="B178" s="95"/>
      <x:c r="C178" s="95"/>
      <x:c r="D178" s="95"/>
      <x:c r="E178" s="95"/>
      <x:c r="F178" s="95"/>
      <x:c r="G178" s="95"/>
      <x:c r="H178" s="95"/>
      <x:c r="I178" s="95"/>
      <x:c r="J178" s="95"/>
      <x:c r="K178" s="95"/>
      <x:c r="L178" s="95"/>
      <x:c r="M178" s="95"/>
      <x:c r="N178" s="106"/>
      <x:c r="O178" s="109"/>
    </x:row>
    <x:row r="179" ht="15" hidden="0" customHeight="1">
      <x:c r="A179" s="92"/>
      <x:c r="B179" s="95"/>
      <x:c r="C179" s="95"/>
      <x:c r="D179" s="95"/>
      <x:c r="E179" s="95"/>
      <x:c r="F179" s="95"/>
      <x:c r="G179" s="95"/>
      <x:c r="H179" s="95"/>
      <x:c r="I179" s="95"/>
      <x:c r="J179" s="95"/>
      <x:c r="K179" s="95"/>
      <x:c r="L179" s="95"/>
      <x:c r="M179" s="95"/>
      <x:c r="N179" s="106"/>
      <x:c r="O179" s="109"/>
    </x:row>
    <x:row r="180" ht="15" hidden="0" customHeight="1">
      <x:c r="A180" s="92"/>
      <x:c r="B180" s="95"/>
      <x:c r="C180" s="95"/>
      <x:c r="D180" s="95"/>
      <x:c r="E180" s="95"/>
      <x:c r="F180" s="95"/>
      <x:c r="G180" s="95"/>
      <x:c r="H180" s="95"/>
      <x:c r="I180" s="95"/>
      <x:c r="J180" s="95"/>
      <x:c r="K180" s="95"/>
      <x:c r="L180" s="95"/>
      <x:c r="M180" s="95"/>
      <x:c r="N180" s="106"/>
      <x:c r="O180" s="109"/>
    </x:row>
    <x:row r="181" ht="15" hidden="0" customHeight="1">
      <x:c r="A181" s="92"/>
      <x:c r="B181" s="95"/>
      <x:c r="C181" s="95"/>
      <x:c r="D181" s="95"/>
      <x:c r="E181" s="95"/>
      <x:c r="F181" s="95"/>
      <x:c r="G181" s="95"/>
      <x:c r="H181" s="95"/>
      <x:c r="I181" s="95"/>
      <x:c r="J181" s="95"/>
      <x:c r="K181" s="95"/>
      <x:c r="L181" s="95"/>
      <x:c r="M181" s="95"/>
      <x:c r="N181" s="106"/>
      <x:c r="O181" s="109"/>
    </x:row>
    <x:row r="182" ht="15" hidden="0" customHeight="1">
      <x:c r="A182" s="92"/>
      <x:c r="B182" s="95"/>
      <x:c r="C182" s="95"/>
      <x:c r="D182" s="95"/>
      <x:c r="E182" s="95"/>
      <x:c r="F182" s="95"/>
      <x:c r="G182" s="95"/>
      <x:c r="H182" s="95"/>
      <x:c r="I182" s="95"/>
      <x:c r="J182" s="95"/>
      <x:c r="K182" s="95"/>
      <x:c r="L182" s="95"/>
      <x:c r="M182" s="95"/>
      <x:c r="N182" s="106"/>
      <x:c r="O182" s="109"/>
    </x:row>
    <x:row r="183" ht="15" hidden="0" customHeight="1">
      <x:c r="A183" s="92"/>
      <x:c r="B183" s="95"/>
      <x:c r="C183" s="95"/>
      <x:c r="D183" s="95"/>
      <x:c r="E183" s="95"/>
      <x:c r="F183" s="95"/>
      <x:c r="G183" s="95"/>
      <x:c r="H183" s="95"/>
      <x:c r="I183" s="95"/>
      <x:c r="J183" s="95"/>
      <x:c r="K183" s="95"/>
      <x:c r="L183" s="95"/>
      <x:c r="M183" s="95"/>
      <x:c r="N183" s="106"/>
      <x:c r="O183" s="109"/>
    </x:row>
    <x:row r="184" ht="15" hidden="0" customHeight="1">
      <x:c r="A184" s="92"/>
      <x:c r="B184" s="95"/>
      <x:c r="C184" s="95"/>
      <x:c r="D184" s="95"/>
      <x:c r="E184" s="95"/>
      <x:c r="F184" s="95"/>
      <x:c r="G184" s="95"/>
      <x:c r="H184" s="95"/>
      <x:c r="I184" s="95"/>
      <x:c r="J184" s="95"/>
      <x:c r="K184" s="95"/>
      <x:c r="L184" s="95"/>
      <x:c r="M184" s="95"/>
      <x:c r="N184" s="106"/>
      <x:c r="O184" s="109"/>
    </x:row>
    <x:row r="185" ht="15" hidden="0" customHeight="1">
      <x:c r="A185" s="92"/>
      <x:c r="B185" s="95"/>
      <x:c r="C185" s="95"/>
      <x:c r="D185" s="95"/>
      <x:c r="E185" s="95"/>
      <x:c r="F185" s="95"/>
      <x:c r="G185" s="95"/>
      <x:c r="H185" s="95"/>
      <x:c r="I185" s="95"/>
      <x:c r="J185" s="95"/>
      <x:c r="K185" s="95"/>
      <x:c r="L185" s="95"/>
      <x:c r="M185" s="95"/>
      <x:c r="N185" s="106"/>
      <x:c r="O185" s="109"/>
    </x:row>
    <x:row r="186" ht="15" hidden="0" customHeight="1">
      <x:c r="A186" s="92"/>
      <x:c r="B186" s="95"/>
      <x:c r="C186" s="95"/>
      <x:c r="D186" s="95"/>
      <x:c r="E186" s="95"/>
      <x:c r="F186" s="95"/>
      <x:c r="G186" s="95"/>
      <x:c r="H186" s="95"/>
      <x:c r="I186" s="95"/>
      <x:c r="J186" s="95"/>
      <x:c r="K186" s="95"/>
      <x:c r="L186" s="95"/>
      <x:c r="M186" s="95"/>
      <x:c r="N186" s="106"/>
      <x:c r="O186" s="109"/>
    </x:row>
    <x:row r="187" ht="15" hidden="0" customHeight="1">
      <x:c r="A187" s="92"/>
      <x:c r="B187" s="95"/>
      <x:c r="C187" s="95"/>
      <x:c r="D187" s="95"/>
      <x:c r="E187" s="95"/>
      <x:c r="F187" s="95"/>
      <x:c r="G187" s="95"/>
      <x:c r="H187" s="95"/>
      <x:c r="I187" s="95"/>
      <x:c r="J187" s="95"/>
      <x:c r="K187" s="95"/>
      <x:c r="L187" s="95"/>
      <x:c r="M187" s="95"/>
      <x:c r="N187" s="106"/>
      <x:c r="O187" s="109"/>
    </x:row>
    <x:row r="188" ht="15" hidden="0" customHeight="1">
      <x:c r="A188" s="92"/>
      <x:c r="B188" s="95"/>
      <x:c r="C188" s="95"/>
      <x:c r="D188" s="95"/>
      <x:c r="E188" s="95"/>
      <x:c r="F188" s="95"/>
      <x:c r="G188" s="95"/>
      <x:c r="H188" s="95"/>
      <x:c r="I188" s="95"/>
      <x:c r="J188" s="95"/>
      <x:c r="K188" s="95"/>
      <x:c r="L188" s="95"/>
      <x:c r="M188" s="95"/>
      <x:c r="N188" s="106"/>
      <x:c r="O188" s="109"/>
    </x:row>
    <x:row r="189" ht="15" hidden="0" customHeight="1">
      <x:c r="A189" s="92"/>
      <x:c r="B189" s="95"/>
      <x:c r="C189" s="95"/>
      <x:c r="D189" s="95"/>
      <x:c r="E189" s="95"/>
      <x:c r="F189" s="95"/>
      <x:c r="G189" s="95"/>
      <x:c r="H189" s="95"/>
      <x:c r="I189" s="95"/>
      <x:c r="J189" s="95"/>
      <x:c r="K189" s="95"/>
      <x:c r="L189" s="95"/>
      <x:c r="M189" s="95"/>
      <x:c r="N189" s="106"/>
      <x:c r="O189" s="109"/>
    </x:row>
    <x:row r="190" ht="15" hidden="0" customHeight="1">
      <x:c r="A190" s="92"/>
      <x:c r="B190" s="95"/>
      <x:c r="C190" s="95"/>
      <x:c r="D190" s="95"/>
      <x:c r="E190" s="95"/>
      <x:c r="F190" s="95"/>
      <x:c r="G190" s="95"/>
      <x:c r="H190" s="95"/>
      <x:c r="I190" s="95"/>
      <x:c r="J190" s="95"/>
      <x:c r="K190" s="95"/>
      <x:c r="L190" s="95"/>
      <x:c r="M190" s="95"/>
      <x:c r="N190" s="106"/>
      <x:c r="O190" s="109"/>
    </x:row>
    <x:row r="191" ht="15" hidden="0" customHeight="1">
      <x:c r="A191" s="92"/>
      <x:c r="B191" s="95"/>
      <x:c r="C191" s="95"/>
      <x:c r="D191" s="95"/>
      <x:c r="E191" s="95"/>
      <x:c r="F191" s="95"/>
      <x:c r="G191" s="95"/>
      <x:c r="H191" s="95"/>
      <x:c r="I191" s="95"/>
      <x:c r="J191" s="95"/>
      <x:c r="K191" s="95"/>
      <x:c r="L191" s="95"/>
      <x:c r="M191" s="95"/>
      <x:c r="N191" s="106"/>
      <x:c r="O191" s="109"/>
    </x:row>
    <x:row r="192" ht="15" hidden="0" customHeight="1">
      <x:c r="A192" s="92"/>
      <x:c r="B192" s="95"/>
      <x:c r="C192" s="95"/>
      <x:c r="D192" s="95"/>
      <x:c r="E192" s="95"/>
      <x:c r="F192" s="95"/>
      <x:c r="G192" s="95"/>
      <x:c r="H192" s="95"/>
      <x:c r="I192" s="95"/>
      <x:c r="J192" s="95"/>
      <x:c r="K192" s="95"/>
      <x:c r="L192" s="95"/>
      <x:c r="M192" s="95"/>
      <x:c r="N192" s="106"/>
      <x:c r="O192" s="109"/>
    </x:row>
    <x:row r="193" ht="15" hidden="0" customHeight="1">
      <x:c r="A193" s="92"/>
      <x:c r="B193" s="95"/>
      <x:c r="C193" s="95"/>
      <x:c r="D193" s="95"/>
      <x:c r="E193" s="95"/>
      <x:c r="F193" s="95"/>
      <x:c r="G193" s="95"/>
      <x:c r="H193" s="95"/>
      <x:c r="I193" s="95"/>
      <x:c r="J193" s="95"/>
      <x:c r="K193" s="95"/>
      <x:c r="L193" s="95"/>
      <x:c r="M193" s="95"/>
      <x:c r="N193" s="106"/>
      <x:c r="O193" s="109"/>
    </x:row>
    <x:row r="194" ht="15" hidden="0" customHeight="1">
      <x:c r="A194" s="92"/>
      <x:c r="B194" s="95"/>
      <x:c r="C194" s="95"/>
      <x:c r="D194" s="95"/>
      <x:c r="E194" s="95"/>
      <x:c r="F194" s="95"/>
      <x:c r="G194" s="95"/>
      <x:c r="H194" s="95"/>
      <x:c r="I194" s="95"/>
      <x:c r="J194" s="95"/>
      <x:c r="K194" s="95"/>
      <x:c r="L194" s="95"/>
      <x:c r="M194" s="95"/>
      <x:c r="N194" s="106"/>
      <x:c r="O194" s="109"/>
    </x:row>
    <x:row r="195" ht="15" hidden="0" customHeight="1">
      <x:c r="A195" s="92"/>
      <x:c r="B195" s="95"/>
      <x:c r="C195" s="95"/>
      <x:c r="D195" s="95"/>
      <x:c r="E195" s="95"/>
      <x:c r="F195" s="95"/>
      <x:c r="G195" s="95"/>
      <x:c r="H195" s="95"/>
      <x:c r="I195" s="95"/>
      <x:c r="J195" s="95"/>
      <x:c r="K195" s="95"/>
      <x:c r="L195" s="95"/>
      <x:c r="M195" s="95"/>
      <x:c r="N195" s="106"/>
      <x:c r="O195" s="109"/>
    </x:row>
    <x:row r="196" ht="15" hidden="0" customHeight="1">
      <x:c r="A196" s="92"/>
      <x:c r="B196" s="95"/>
      <x:c r="C196" s="95"/>
      <x:c r="D196" s="95"/>
      <x:c r="E196" s="95"/>
      <x:c r="F196" s="95"/>
      <x:c r="G196" s="95"/>
      <x:c r="H196" s="95"/>
      <x:c r="I196" s="95"/>
      <x:c r="J196" s="95"/>
      <x:c r="K196" s="95"/>
      <x:c r="L196" s="95"/>
      <x:c r="M196" s="95"/>
      <x:c r="N196" s="106"/>
      <x:c r="O196" s="109"/>
    </x:row>
    <x:row r="197" ht="15" hidden="0" customHeight="1">
      <x:c r="A197" s="92"/>
      <x:c r="B197" s="95"/>
      <x:c r="C197" s="95"/>
      <x:c r="D197" s="95"/>
      <x:c r="E197" s="95"/>
      <x:c r="F197" s="95"/>
      <x:c r="G197" s="95"/>
      <x:c r="H197" s="95"/>
      <x:c r="I197" s="95"/>
      <x:c r="J197" s="95"/>
      <x:c r="K197" s="95"/>
      <x:c r="L197" s="95"/>
      <x:c r="M197" s="95"/>
      <x:c r="N197" s="106"/>
      <x:c r="O197" s="109"/>
    </x:row>
    <x:row r="198" ht="15" hidden="0" customHeight="1">
      <x:c r="A198" s="92"/>
      <x:c r="B198" s="95"/>
      <x:c r="C198" s="95"/>
      <x:c r="D198" s="95"/>
      <x:c r="E198" s="95"/>
      <x:c r="F198" s="95"/>
      <x:c r="G198" s="95"/>
      <x:c r="H198" s="95"/>
      <x:c r="I198" s="95"/>
      <x:c r="J198" s="95"/>
      <x:c r="K198" s="95"/>
      <x:c r="L198" s="95"/>
      <x:c r="M198" s="95"/>
      <x:c r="N198" s="106"/>
      <x:c r="O198" s="109"/>
    </x:row>
    <x:row r="199" ht="15" hidden="0" customHeight="1">
      <x:c r="A199" s="92"/>
      <x:c r="B199" s="95"/>
      <x:c r="C199" s="95"/>
      <x:c r="D199" s="95"/>
      <x:c r="E199" s="95"/>
      <x:c r="F199" s="95"/>
      <x:c r="G199" s="95"/>
      <x:c r="H199" s="95"/>
      <x:c r="I199" s="95"/>
      <x:c r="J199" s="95"/>
      <x:c r="K199" s="95"/>
      <x:c r="L199" s="95"/>
      <x:c r="M199" s="95"/>
      <x:c r="N199" s="106"/>
      <x:c r="O199" s="109"/>
    </x:row>
    <x:row r="200" ht="15" hidden="0" customHeight="1">
      <x:c r="A200" s="92"/>
      <x:c r="B200" s="95"/>
      <x:c r="C200" s="95"/>
      <x:c r="D200" s="95"/>
      <x:c r="E200" s="95"/>
      <x:c r="F200" s="95"/>
      <x:c r="G200" s="95"/>
      <x:c r="H200" s="95"/>
      <x:c r="I200" s="95"/>
      <x:c r="J200" s="95"/>
      <x:c r="K200" s="95"/>
      <x:c r="L200" s="95"/>
      <x:c r="M200" s="95"/>
      <x:c r="N200" s="106"/>
      <x:c r="O200" s="109"/>
    </x:row>
    <x:row r="201" ht="15" hidden="0" customHeight="1">
      <x:c r="A201" s="92"/>
      <x:c r="B201" s="95"/>
      <x:c r="C201" s="95"/>
      <x:c r="D201" s="95"/>
      <x:c r="E201" s="95"/>
      <x:c r="F201" s="95"/>
      <x:c r="G201" s="95"/>
      <x:c r="H201" s="95"/>
      <x:c r="I201" s="95"/>
      <x:c r="J201" s="95"/>
      <x:c r="K201" s="95"/>
      <x:c r="L201" s="95"/>
      <x:c r="M201" s="95"/>
      <x:c r="N201" s="106"/>
      <x:c r="O201" s="109"/>
    </x:row>
    <x:row r="202" ht="15" hidden="0" customHeight="1">
      <x:c r="A202" s="92"/>
      <x:c r="B202" s="95"/>
      <x:c r="C202" s="95"/>
      <x:c r="D202" s="95"/>
      <x:c r="E202" s="95"/>
      <x:c r="F202" s="95"/>
      <x:c r="G202" s="95"/>
      <x:c r="H202" s="95"/>
      <x:c r="I202" s="95"/>
      <x:c r="J202" s="95"/>
      <x:c r="K202" s="95"/>
      <x:c r="L202" s="95"/>
      <x:c r="M202" s="95"/>
      <x:c r="N202" s="106"/>
      <x:c r="O202" s="109"/>
    </x:row>
    <x:row r="203" ht="15" hidden="0" customHeight="1">
      <x:c r="A203" s="92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106"/>
      <x:c r="O203" s="109"/>
    </x:row>
    <x:row r="204" ht="15" hidden="0" customHeight="1">
      <x:c r="A204" s="92"/>
      <x:c r="B204" s="95"/>
      <x:c r="C204" s="95"/>
      <x:c r="D204" s="95"/>
      <x:c r="E204" s="95"/>
      <x:c r="F204" s="95"/>
      <x:c r="G204" s="95"/>
      <x:c r="H204" s="95"/>
      <x:c r="I204" s="95"/>
      <x:c r="J204" s="95"/>
      <x:c r="K204" s="95"/>
      <x:c r="L204" s="95"/>
      <x:c r="M204" s="95"/>
      <x:c r="N204" s="106"/>
      <x:c r="O204" s="109"/>
    </x:row>
    <x:row r="205" ht="15" hidden="0" customHeight="1">
      <x:c r="A205" s="97"/>
      <x:c r="B205" s="100"/>
      <x:c r="C205" s="100"/>
      <x:c r="D205" s="100"/>
      <x:c r="E205" s="100"/>
      <x:c r="F205" s="100"/>
      <x:c r="G205" s="100"/>
      <x:c r="H205" s="100"/>
      <x:c r="I205" s="100"/>
      <x:c r="J205" s="100"/>
      <x:c r="K205" s="100"/>
      <x:c r="L205" s="100"/>
      <x:c r="M205" s="100"/>
      <x:c r="N205" s="107"/>
      <x:c r="O205" s="110"/>
    </x:row>
  </x:sheetData>
  <x:mergeCells>
    <x:mergeCell ref="A1:O1"/>
    <x:mergeCell ref="A3:O3"/>
  </x:mergeCells>
  <x:conditionalFormatting sqref="K6:K205">
    <x:cfRule type="containsText" dxfId="15" priority="1" operator="containsText" text="Pasó"/>
    <x:cfRule type="containsText" dxfId="16" priority="2" operator="containsText" text="Aprobada"/>
    <x:cfRule type="containsText" dxfId="17" priority="3" operator="containsText" text="Falló"/>
    <x:cfRule type="containsText" dxfId="18" priority="4" operator="containsText" text="Bloqueado"/>
    <x:cfRule type="containsText" dxfId="19" priority="5" operator="containsText" text="Requiere aclaración"/>
  </x:conditionalFormatting>
  <x:dataValidations count="3">
    <x:dataValidation type="list" sqref="J6:J205">
      <x:formula1>"Crítica,Alta,Media,Baja"</x:formula1>
    </x:dataValidation>
    <x:dataValidation type="list" sqref="K6:K205">
      <x:formula1>"Nuevo,Abierto,En análisis,Corregido,Reabierto,Cerrado"</x:formula1>
    </x:dataValidation>
    <x:dataValidation type="list" sqref="L6:L205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d32774f884c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2.5" hidden="0" customWidth="1"/>
    <x:col min="3" max="3" width="18.75" hidden="0" customWidth="1"/>
    <x:col min="4" max="4" width="35" hidden="0" customWidth="1"/>
    <x:col min="5" max="5" width="28.75" hidden="0" customWidth="1"/>
    <x:col min="6" max="6" width="16.8799991607666" hidden="0" customWidth="1"/>
  </x:cols>
  <x:sheetData>
    <x:row r="1" ht="19.200000762939453" hidden="0" customHeight="1">
      <x:c r="A1" s="81" t="str">
        <x:v>Guía rápida para revisar Sprint 2</x:v>
      </x:c>
      <x:c r="B1" s="81"/>
      <x:c r="C1" s="81"/>
      <x:c r="D1" s="81"/>
      <x:c r="E1" s="81"/>
      <x:c r="F1" s="81"/>
    </x:row>
    <x:row r="2" ht="15" hidden="0" customHeight="1">
      <x:c r="A2" s="82"/>
      <x:c r="B2" s="82"/>
      <x:c r="C2" s="82"/>
      <x:c r="D2" s="82"/>
      <x:c r="E2" s="82"/>
      <x:c r="F2" s="82"/>
    </x:row>
    <x:row r="3" ht="15" hidden="0" customHeight="1">
      <x:c r="A3" s="83" t="str">
        <x:v>Trabaja desde Casos_Prueba. Si un caso falla, registra BUG y luego marca la historia como Falló.</x:v>
      </x:c>
      <x:c r="B3" s="82"/>
      <x:c r="C3" s="82"/>
      <x:c r="D3" s="82"/>
      <x:c r="E3" s="82"/>
      <x:c r="F3" s="82"/>
    </x:row>
    <x:row r="4" ht="15" hidden="0" customHeight="1">
      <x:c r="A4" s="82"/>
      <x:c r="B4" s="82"/>
      <x:c r="C4" s="82"/>
      <x:c r="D4" s="82"/>
      <x:c r="E4" s="82"/>
      <x:c r="F4" s="82"/>
    </x:row>
    <x:row r="5" ht="15" hidden="0" customHeight="1">
      <x:c r="A5" s="84" t="str">
        <x:v>Paso</x:v>
      </x:c>
      <x:c r="B5" s="86" t="str">
        <x:v>Qué revisar</x:v>
      </x:c>
      <x:c r="C5" s="86" t="str">
        <x:v>Dónde llenarlo</x:v>
      </x:c>
      <x:c r="D5" s="86" t="str">
        <x:v>Tip QA junior</x:v>
      </x:c>
      <x:c r="E5" s="86" t="str">
        <x:v>Ejemplo</x:v>
      </x:c>
      <x:c r="F5" s="85" t="str">
        <x:v>Estado sugerido</x:v>
      </x:c>
    </x:row>
    <x:row r="6" ht="15" hidden="0" customHeight="1">
      <x:c r="A6" s="87" t="str">
        <x:v>1</x:v>
      </x:c>
      <x:c r="B6" s="90" t="str">
        <x:v>Datos reales</x:v>
      </x:c>
      <x:c r="C6" s="90" t="str">
        <x:v>Casos_Prueba</x:v>
      </x:c>
      <x:c r="D6" s="90" t="str">
        <x:v>Compara UI contra backend o datos esperados.</x:v>
      </x:c>
      <x:c r="E6" s="90" t="str">
        <x:v>CP-001 / CP-002</x:v>
      </x:c>
      <x:c r="F6" s="91" t="str">
        <x:v>Pendiente</x:v>
      </x:c>
    </x:row>
    <x:row r="7" ht="15" hidden="0" customHeight="1">
      <x:c r="A7" s="92" t="str">
        <x:v>2</x:v>
      </x:c>
      <x:c r="B7" s="95" t="str">
        <x:v>Loading/error/vacío</x:v>
      </x:c>
      <x:c r="C7" s="95" t="str">
        <x:v>Casos_Prueba</x:v>
      </x:c>
      <x:c r="D7" s="95" t="str">
        <x:v>Prueba también cuando algo sale mal.</x:v>
      </x:c>
      <x:c r="E7" s="95" t="str">
        <x:v>CP-003 a CP-005</x:v>
      </x:c>
      <x:c r="F7" s="96" t="str">
        <x:v>Pendiente</x:v>
      </x:c>
    </x:row>
    <x:row r="8" ht="15" hidden="0" customHeight="1">
      <x:c r="A8" s="92" t="str">
        <x:v>3</x:v>
      </x:c>
      <x:c r="B8" s="95" t="str">
        <x:v>Cierre</x:v>
      </x:c>
      <x:c r="C8" s="95" t="str">
        <x:v>Casos_Prueba</x:v>
      </x:c>
      <x:c r="D8" s="95" t="str">
        <x:v>Valida modal, backend y actualización visual.</x:v>
      </x:c>
      <x:c r="E8" s="95" t="str">
        <x:v>CP-009 a CP-014</x:v>
      </x:c>
      <x:c r="F8" s="96" t="str">
        <x:v>Pendiente</x:v>
      </x:c>
    </x:row>
    <x:row r="9" ht="15" hidden="0" customHeight="1">
      <x:c r="A9" s="92" t="str">
        <x:v>4</x:v>
      </x:c>
      <x:c r="B9" s="95" t="str">
        <x:v>Edición</x:v>
      </x:c>
      <x:c r="C9" s="95" t="str">
        <x:v>Casos_Prueba</x:v>
      </x:c>
      <x:c r="D9" s="95" t="str">
        <x:v>Revisa que guardar esté bloqueado sin cambios.</x:v>
      </x:c>
      <x:c r="E9" s="95" t="str">
        <x:v>CP-015 a CP-019</x:v>
      </x:c>
      <x:c r="F9" s="96" t="str">
        <x:v>Pendiente</x:v>
      </x:c>
    </x:row>
    <x:row r="10" ht="15" hidden="0" customHeight="1">
      <x:c r="A10" s="92" t="str">
        <x:v>5</x:v>
      </x:c>
      <x:c r="B10" s="95" t="str">
        <x:v>Filtros</x:v>
      </x:c>
      <x:c r="C10" s="95" t="str">
        <x:v>Casos_Prueba</x:v>
      </x:c>
      <x:c r="D10" s="95" t="str">
        <x:v>Prueba nombre, gestión, activa, finalizada y todas.</x:v>
      </x:c>
      <x:c r="E10" s="95" t="str">
        <x:v>CP-020 a CP-025</x:v>
      </x:c>
      <x:c r="F10" s="96" t="str">
        <x:v>Pendiente</x:v>
      </x:c>
    </x:row>
    <x:row r="11" ht="15" hidden="0" customHeight="1">
      <x:c r="A11" s="92" t="str">
        <x:v>6</x:v>
      </x:c>
      <x:c r="B11" s="95" t="str">
        <x:v>Evidencia</x:v>
      </x:c>
      <x:c r="C11" s="95" t="str">
        <x:v>Bugs</x:v>
      </x:c>
      <x:c r="D11" s="95" t="str">
        <x:v>Si falla, captura pantalla o video.</x:v>
      </x:c>
      <x:c r="E11" s="95" t="str">
        <x:v>BUG-001</x:v>
      </x:c>
      <x:c r="F11" s="96" t="str">
        <x:v>Nuevo</x:v>
      </x:c>
    </x:row>
    <x:row r="12" ht="15" hidden="0" customHeight="1">
      <x:c r="A12" s="92" t="str">
        <x:v>7</x:v>
      </x:c>
      <x:c r="B12" s="95" t="str">
        <x:v>Criterios</x:v>
      </x:c>
      <x:c r="C12" s="95" t="str">
        <x:v>Criterios</x:v>
      </x:c>
      <x:c r="D12" s="95" t="str">
        <x:v>Actualiza Cumple/No cumple al terminar casos.</x:v>
      </x:c>
      <x:c r="E12" s="95" t="str">
        <x:v>CA-001</x:v>
      </x:c>
      <x:c r="F12" s="96" t="str">
        <x:v>Cumple</x:v>
      </x:c>
    </x:row>
    <x:row r="13" ht="15" hidden="0" customHeight="1">
      <x:c r="A13" s="97" t="str">
        <x:v>8</x:v>
      </x:c>
      <x:c r="B13" s="100" t="str">
        <x:v>Cierre QA</x:v>
      </x:c>
      <x:c r="C13" s="100" t="str">
        <x:v>Historias</x:v>
      </x:c>
      <x:c r="D13" s="100" t="str">
        <x:v>Aprueba solo sin bugs altos/críticos abiertos.</x:v>
      </x:c>
      <x:c r="E13" s="100" t="str">
        <x:v>GH-006</x:v>
      </x:c>
      <x:c r="F13" s="101" t="str">
        <x:v>Aprobada</x:v>
      </x:c>
    </x:row>
  </x:sheetData>
  <x:mergeCells>
    <x:mergeCell ref="A1:F1"/>
    <x:mergeCell ref="A3:F3"/>
  </x:mergeCells>
  <x:pageMargins left="0.7" right="0.7" top="0.75" bottom="0.75" header="0.3" footer="0.3"/>
  <x:tableParts count="1">
    <x:tablePart xmlns:r="http://schemas.openxmlformats.org/officeDocument/2006/relationships" r:id="R9d3460beef3849f3"/>
  </x:tableParts>
</x:worksheet>
</file>